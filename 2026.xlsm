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filterPrivacy="1" codeName="ThisWorkbook" defaultThemeVersion="124226"/>
  <xr:revisionPtr revIDLastSave="0" documentId="13_ncr:1_{218BFE14-C623-4339-8478-76342018515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ersonal" sheetId="1" r:id="rId1"/>
    <sheet name="tareas" sheetId="3" r:id="rId2"/>
    <sheet name="personal_tareas" sheetId="4" r:id="rId3"/>
    <sheet name="tabla_control" sheetId="2" r:id="rId4"/>
  </sheets>
  <functionGroups builtInGroupCount="19"/>
  <definedNames>
    <definedName name="_xleta.AND" hidden="1" xlm="1">#NAME?</definedName>
    <definedName name="_xleta.ISNUMBER" hidden="1" xlm="1">#NAME?</definedName>
    <definedName name="_xleta.MATCH" hidden="1" xlm="1">#NAME?</definedName>
    <definedName name="_xleta.NOT" hidden="1" xlm="1">#NAME?</definedName>
    <definedName name="_xlpm.idPersona" hidden="1" xlm="1">#NAME?</definedName>
    <definedName name="_xlpm.idsTarea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C4" i="2"/>
  <c r="D8" i="3"/>
</calcChain>
</file>

<file path=xl/sharedStrings.xml><?xml version="1.0" encoding="utf-8"?>
<sst xmlns="http://schemas.openxmlformats.org/spreadsheetml/2006/main" count="140" uniqueCount="109">
  <si>
    <t>Sof.My.DESA</t>
  </si>
  <si>
    <t>Magne Chinche German Francisco</t>
  </si>
  <si>
    <t>Olivares Muñoz Hernan</t>
  </si>
  <si>
    <t>Hino Laura Victor</t>
  </si>
  <si>
    <t>Castillo Condori Juan Jose</t>
  </si>
  <si>
    <t>Sof.1ro.DESA</t>
  </si>
  <si>
    <t>Machaca Quispe Favio</t>
  </si>
  <si>
    <t>Sof.2do.DESA</t>
  </si>
  <si>
    <t>Ortiz Copa Dante Julian</t>
  </si>
  <si>
    <t>Sof.Inc.Tec.</t>
  </si>
  <si>
    <t>Poma Ticona Edwin</t>
  </si>
  <si>
    <t>Poma Chura Boris Erick</t>
  </si>
  <si>
    <t>Vidal Prado Rafael</t>
  </si>
  <si>
    <t>Mamani Tenorio Guilmar</t>
  </si>
  <si>
    <t>Sgto.1ro.Téc.</t>
  </si>
  <si>
    <t>Quispe Nina Xavier Oscar</t>
  </si>
  <si>
    <t>Sgto.1ro.Tec.</t>
  </si>
  <si>
    <t>Ortuño Alonzo Henry</t>
  </si>
  <si>
    <t>Veliz Salinas Amilcar Leandro</t>
  </si>
  <si>
    <t>Mamani Mamani Reynaldo</t>
  </si>
  <si>
    <t>Sgto.2do.Téc.</t>
  </si>
  <si>
    <t>Sala Quispe Edwin</t>
  </si>
  <si>
    <t>Martinez Vallejos Johnn Alfredo</t>
  </si>
  <si>
    <t>Rios Marin Saul Pedro</t>
  </si>
  <si>
    <t>Heredia Fuentes Carla Daniela</t>
  </si>
  <si>
    <t>Saavedra Gutierrez Sonia</t>
  </si>
  <si>
    <t>Rios Jaimes Ruben Osvaldo</t>
  </si>
  <si>
    <t>Condori Mayta Gabriela</t>
  </si>
  <si>
    <t>Jefe Linea Vuelo</t>
  </si>
  <si>
    <t>Inspector Calidad</t>
  </si>
  <si>
    <t>Jefe Almacen</t>
  </si>
  <si>
    <t>Control Calidad</t>
  </si>
  <si>
    <t>Téc. OMA</t>
  </si>
  <si>
    <t>Tramite OMA</t>
  </si>
  <si>
    <t>FECHA INICIO</t>
  </si>
  <si>
    <t>MES</t>
  </si>
  <si>
    <t>TAREA</t>
  </si>
  <si>
    <t>AREGLODOCUMENTACION</t>
  </si>
  <si>
    <t>GUARDIA ENTRANTE</t>
  </si>
  <si>
    <t>GUARDIA SALIENTE</t>
  </si>
  <si>
    <t>VACACION</t>
  </si>
  <si>
    <t>Inspeccion linternas</t>
  </si>
  <si>
    <t>actualizacion files</t>
  </si>
  <si>
    <t>ENERO</t>
  </si>
  <si>
    <t>FEBRERO</t>
  </si>
  <si>
    <t>MARZO</t>
  </si>
  <si>
    <t>PORCENTAJE</t>
  </si>
  <si>
    <t>COMISION VUELO</t>
  </si>
  <si>
    <t>COMISION VARIOS</t>
  </si>
  <si>
    <t>DIAS DE TRABAJO</t>
  </si>
  <si>
    <t>DIA DE PERMISO</t>
  </si>
  <si>
    <t>OTROS</t>
  </si>
  <si>
    <t>PERSONAL TECNICO</t>
  </si>
  <si>
    <t>CONTROL TRABAJOS ASIGNADOS AL PERSONAL</t>
  </si>
  <si>
    <t>INSPECCION FAB 003</t>
  </si>
  <si>
    <t>LAVADO AERONAVE</t>
  </si>
  <si>
    <t>Grado</t>
  </si>
  <si>
    <t>Apellidos y Nombres</t>
  </si>
  <si>
    <t>Cargo</t>
  </si>
  <si>
    <t>Especialidad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</si>
  <si>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</si>
  <si>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</si>
  <si>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</si>
  <si>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</si>
  <si>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</si>
  <si>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</si>
  <si>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</si>
  <si>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</si>
  <si>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</si>
  <si>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</si>
  <si>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</si>
  <si>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</si>
  <si>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</si>
  <si>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</si>
  <si>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</si>
  <si>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</si>
  <si>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</si>
  <si>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</si>
  <si>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</si>
  <si>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</si>
  <si>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</si>
  <si>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</si>
  <si>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</si>
  <si>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</si>
  <si>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</si>
  <si>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</si>
  <si>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</si>
  <si>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</si>
  <si>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</si>
  <si>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</si>
  <si>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</si>
  <si>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nro_persona</t>
  </si>
  <si>
    <t>nro_tarea</t>
  </si>
  <si>
    <t>Nro</t>
  </si>
  <si>
    <t>persona_id</t>
  </si>
  <si>
    <t>tarea_id</t>
  </si>
  <si>
    <t>FECHA FINAL</t>
  </si>
  <si>
    <t>INSP. 100 Hrs..</t>
  </si>
  <si>
    <t>revision equipos coA</t>
  </si>
  <si>
    <t>sad</t>
  </si>
  <si>
    <t>asd</t>
  </si>
  <si>
    <t>dsa</t>
  </si>
  <si>
    <t>dasdsa</t>
  </si>
  <si>
    <t>Pruebita123</t>
  </si>
  <si>
    <t>asdsad</t>
  </si>
  <si>
    <t>REVISION EQUIPOS ARENAs</t>
  </si>
  <si>
    <t>Reciclar basuras</t>
  </si>
  <si>
    <t>Hacer dormir bebesa</t>
  </si>
  <si>
    <t>LUBRICACION ROTOR PRINCIPALES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</si>
</sst>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9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0EE9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0" borderId="0" xfId="0" applyFont="1"/>
    <xf numFmtId="15" fontId="8" fillId="12" borderId="2" xfId="0" applyNumberFormat="1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1" fontId="0" fillId="0" borderId="2" xfId="0" applyNumberFormat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4" xfId="0" applyFont="1" applyBorder="1"/>
    <xf numFmtId="0" fontId="7" fillId="0" borderId="13" xfId="0" applyFont="1" applyBorder="1" applyAlignment="1">
      <alignment horizontal="center" vertical="center"/>
    </xf>
    <xf numFmtId="15" fontId="7" fillId="0" borderId="1" xfId="0" applyNumberFormat="1" applyFont="1" applyBorder="1" applyAlignment="1">
      <alignment horizontal="center"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5" fontId="7" fillId="0" borderId="3" xfId="0" applyNumberFormat="1" applyFont="1" applyBorder="1" applyAlignment="1">
      <alignment horizontal="center" vertical="center"/>
    </xf>
    <xf numFmtId="9" fontId="7" fillId="0" borderId="3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16" xfId="0" applyFont="1" applyBorder="1"/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/>
    </xf>
    <xf numFmtId="0" fontId="10" fillId="6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0" fontId="10" fillId="11" borderId="0" xfId="0" applyFont="1" applyFill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9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</cellXfs>
  <cellStyles count="1">
    <cellStyle name="Normal" xfId="0" builtinId="0"/>
  </cellStyles>
  <dxfs count="57"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CC99FF"/>
      <color rgb="FFFF9999"/>
      <color rgb="FF66CCFF"/>
      <color rgb="FF88CBE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53478</xdr:colOff>
      <xdr:row>4</xdr:row>
      <xdr:rowOff>76200</xdr:rowOff>
    </xdr:from>
    <xdr:to>
      <xdr:col>4</xdr:col>
      <xdr:colOff>138101</xdr:colOff>
      <xdr:row>4</xdr:row>
      <xdr:rowOff>398585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23046503-ABEF-CF93-641B-6205450BEB90}"/>
            </a:ext>
          </a:extLst>
        </xdr:cNvPr>
        <xdr:cNvGrpSpPr/>
      </xdr:nvGrpSpPr>
      <xdr:grpSpPr>
        <a:xfrm>
          <a:off x="2829808" y="1189383"/>
          <a:ext cx="1018902" cy="322385"/>
          <a:chOff x="1689516" y="377112"/>
          <a:chExt cx="1000719" cy="333735"/>
        </a:xfrm>
      </xdr:grpSpPr>
      <xdr:sp macro="[0]!BuscarPersona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1D0C44EC-4FFB-D2EA-FE3E-D89C2262C729}"/>
              </a:ext>
            </a:extLst>
          </xdr:cNvPr>
          <xdr:cNvSpPr/>
        </xdr:nvSpPr>
        <xdr:spPr>
          <a:xfrm>
            <a:off x="1689516" y="377112"/>
            <a:ext cx="1000719" cy="333735"/>
          </a:xfrm>
          <a:prstGeom prst="roundRect">
            <a:avLst/>
          </a:prstGeom>
          <a:solidFill>
            <a:srgbClr val="66CCFF"/>
          </a:solidFill>
          <a:ln>
            <a:solidFill>
              <a:srgbClr val="00B0F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10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BUSCAR</a:t>
            </a:r>
          </a:p>
        </xdr:txBody>
      </xdr:sp>
      <xdr:pic macro="[0]!BuscarPersona">
        <xdr:nvPicPr>
          <xdr:cNvPr id="18" name="Imagen 17">
            <a:extLst>
              <a:ext uri="{FF2B5EF4-FFF2-40B4-BE49-F238E27FC236}">
                <a16:creationId xmlns:a16="http://schemas.microsoft.com/office/drawing/2014/main" id="{2F594750-1D44-0763-D600-9BAF708C11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65211" y="441909"/>
            <a:ext cx="176812" cy="18843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131825</xdr:colOff>
      <xdr:row>4</xdr:row>
      <xdr:rowOff>71336</xdr:rowOff>
    </xdr:from>
    <xdr:to>
      <xdr:col>13</xdr:col>
      <xdr:colOff>5959</xdr:colOff>
      <xdr:row>4</xdr:row>
      <xdr:rowOff>392349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CAF03DA8-1231-13E4-51FD-AC90F678F8CE}"/>
            </a:ext>
          </a:extLst>
        </xdr:cNvPr>
        <xdr:cNvGrpSpPr/>
      </xdr:nvGrpSpPr>
      <xdr:grpSpPr>
        <a:xfrm>
          <a:off x="6101929" y="1184519"/>
          <a:ext cx="868047" cy="321013"/>
          <a:chOff x="1686598" y="98675"/>
          <a:chExt cx="896190" cy="318321"/>
        </a:xfrm>
      </xdr:grpSpPr>
      <xdr:sp macro="[0]!RefreshTablaControl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BF03CD91-1101-4AFD-A5B6-F3C6BA6AEC95}"/>
              </a:ext>
            </a:extLst>
          </xdr:cNvPr>
          <xdr:cNvSpPr/>
        </xdr:nvSpPr>
        <xdr:spPr>
          <a:xfrm>
            <a:off x="1686598" y="98675"/>
            <a:ext cx="896190" cy="318321"/>
          </a:xfrm>
          <a:prstGeom prst="roundRect">
            <a:avLst/>
          </a:prstGeom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chemeClr val="accent3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9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ACTUALIZAR</a:t>
            </a:r>
            <a:endParaRPr lang="es-BO" sz="1000" b="1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pic macro="[0]!RefreshTablaControl">
        <xdr:nvPicPr>
          <xdr:cNvPr id="19" name="Imagen 18">
            <a:extLst>
              <a:ext uri="{FF2B5EF4-FFF2-40B4-BE49-F238E27FC236}">
                <a16:creationId xmlns:a16="http://schemas.microsoft.com/office/drawing/2014/main" id="{5F1889CF-470B-3A04-02FE-E1D397B21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17005" y="183281"/>
            <a:ext cx="118895" cy="14900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265686</xdr:colOff>
      <xdr:row>4</xdr:row>
      <xdr:rowOff>52840</xdr:rowOff>
    </xdr:from>
    <xdr:to>
      <xdr:col>5</xdr:col>
      <xdr:colOff>368570</xdr:colOff>
      <xdr:row>4</xdr:row>
      <xdr:rowOff>466453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BC75C128-CD4B-A991-BCAD-51A79E60F79D}"/>
            </a:ext>
          </a:extLst>
        </xdr:cNvPr>
        <xdr:cNvGrpSpPr/>
      </xdr:nvGrpSpPr>
      <xdr:grpSpPr>
        <a:xfrm>
          <a:off x="3976295" y="1166023"/>
          <a:ext cx="997405" cy="413613"/>
          <a:chOff x="673932" y="546393"/>
          <a:chExt cx="981123" cy="384242"/>
        </a:xfrm>
      </xdr:grpSpPr>
      <xdr:sp macro="[0]!AddTarea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3A8971DD-9D14-4D41-973A-5BE90BCE3290}"/>
              </a:ext>
            </a:extLst>
          </xdr:cNvPr>
          <xdr:cNvSpPr/>
        </xdr:nvSpPr>
        <xdr:spPr>
          <a:xfrm>
            <a:off x="673932" y="568226"/>
            <a:ext cx="888570" cy="304238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  <a:shade val="30000"/>
                  <a:satMod val="115000"/>
                </a:schemeClr>
              </a:gs>
              <a:gs pos="50000">
                <a:schemeClr val="tx2">
                  <a:lumMod val="75000"/>
                  <a:shade val="67500"/>
                  <a:satMod val="115000"/>
                </a:schemeClr>
              </a:gs>
              <a:gs pos="100000">
                <a:schemeClr val="tx2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AddTarea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30A5277-F804-4A87-98A1-69D9299396B8}"/>
              </a:ext>
            </a:extLst>
          </xdr:cNvPr>
          <xdr:cNvSpPr txBox="1"/>
        </xdr:nvSpPr>
        <xdr:spPr>
          <a:xfrm>
            <a:off x="909796" y="546393"/>
            <a:ext cx="745259" cy="3842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s-BO" sz="900" b="1">
                <a:solidFill>
                  <a:schemeClr val="bg1"/>
                </a:solidFill>
              </a:rPr>
              <a:t>AGREGAR</a:t>
            </a:r>
            <a:r>
              <a:rPr lang="es-BO" sz="900" b="1" baseline="0">
                <a:solidFill>
                  <a:schemeClr val="bg1"/>
                </a:solidFill>
              </a:rPr>
              <a:t>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AddTarea">
        <xdr:nvPicPr>
          <xdr:cNvPr id="23" name="Imagen 22">
            <a:extLst>
              <a:ext uri="{FF2B5EF4-FFF2-40B4-BE49-F238E27FC236}">
                <a16:creationId xmlns:a16="http://schemas.microsoft.com/office/drawing/2014/main" id="{3371762B-122A-9CB0-910D-A22B2FC86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42961" y="617151"/>
            <a:ext cx="194068" cy="19014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414108</xdr:colOff>
      <xdr:row>4</xdr:row>
      <xdr:rowOff>43563</xdr:rowOff>
    </xdr:from>
    <xdr:to>
      <xdr:col>8</xdr:col>
      <xdr:colOff>98733</xdr:colOff>
      <xdr:row>4</xdr:row>
      <xdr:rowOff>443570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70A46950-651F-CEE0-29F4-1BB1D8CC95BC}"/>
            </a:ext>
          </a:extLst>
        </xdr:cNvPr>
        <xdr:cNvGrpSpPr/>
      </xdr:nvGrpSpPr>
      <xdr:grpSpPr>
        <a:xfrm>
          <a:off x="5019238" y="1156746"/>
          <a:ext cx="1049599" cy="400007"/>
          <a:chOff x="3975323" y="504048"/>
          <a:chExt cx="1045600" cy="403292"/>
        </a:xfrm>
      </xdr:grpSpPr>
      <xdr:sp macro="[0]!EditTarea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8D34805E-3733-404C-8DEE-6A2C3D8554B7}"/>
              </a:ext>
            </a:extLst>
          </xdr:cNvPr>
          <xdr:cNvSpPr/>
        </xdr:nvSpPr>
        <xdr:spPr>
          <a:xfrm>
            <a:off x="3975323" y="535432"/>
            <a:ext cx="898793" cy="324211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tx2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tx2">
                  <a:lumMod val="60000"/>
                  <a:lumOff val="4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EditTarea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E3EAA7F-2A9B-4FCA-ACAF-6E97B19FD18A}"/>
              </a:ext>
            </a:extLst>
          </xdr:cNvPr>
          <xdr:cNvSpPr txBox="1"/>
        </xdr:nvSpPr>
        <xdr:spPr>
          <a:xfrm>
            <a:off x="4284491" y="504048"/>
            <a:ext cx="736432" cy="4032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BO" sz="900" b="1" baseline="0">
                <a:solidFill>
                  <a:schemeClr val="bg1"/>
                </a:solidFill>
              </a:rPr>
              <a:t>EDITAR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EditTarea">
        <xdr:nvPicPr>
          <xdr:cNvPr id="13" name="Imagen 12">
            <a:extLst>
              <a:ext uri="{FF2B5EF4-FFF2-40B4-BE49-F238E27FC236}">
                <a16:creationId xmlns:a16="http://schemas.microsoft.com/office/drawing/2014/main" id="{113B6036-2AC7-C7D1-2483-8DB3DCEDB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74232" y="620883"/>
            <a:ext cx="185022" cy="19079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6252D-3C43-4DBC-A25C-9EDC8ADB6FD4}" name="personal" displayName="personal" ref="B3:F25" totalsRowShown="0" headerRowDxfId="56" headerRowBorderDxfId="55" tableBorderDxfId="54" totalsRowBorderDxfId="53">
  <autoFilter ref="B3:F25" xr:uid="{9116252D-3C43-4DBC-A25C-9EDC8ADB6FD4}"/>
  <tableColumns count="5">
    <tableColumn id="1" xr3:uid="{78E77F9B-AA55-4AB9-A2CD-2425D8F68D3B}" name="persona_id" dataDxfId="52"/>
    <tableColumn id="2" xr3:uid="{1FBCE43B-AB59-48D9-BED0-98933C8101DD}" name="Grado" dataDxfId="51"/>
    <tableColumn id="3" xr3:uid="{B823448F-D99E-44E9-AB94-F79C0FD15D91}" name="Apellidos y Nombres" dataDxfId="50"/>
    <tableColumn id="4" xr3:uid="{46414F0F-1CC7-4C90-90D9-876499CD35FD}" name="Cargo" dataDxfId="49"/>
    <tableColumn id="5" xr3:uid="{EFF2CF7B-E11B-4F99-A2B5-F7F0E26F7027}" name="Especialidad" dataDxfId="4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0E2FC2-DCDD-4E3C-B86A-D6EA93B3D870}" name="tareas" displayName="tareas" ref="A1:AJ14" totalsRowShown="0" headerRowDxfId="47" dataDxfId="45" headerRowBorderDxfId="46" tableBorderDxfId="44" totalsRowBorderDxfId="43">
  <autoFilter ref="A1:AJ14" xr:uid="{FB0E2FC2-DCDD-4E3C-B86A-D6EA93B3D870}"/>
  <tableColumns count="36">
    <tableColumn id="1" xr3:uid="{E24FF506-8EA6-4708-B7CD-10B49F0EE3BC}" name="tarea_id" dataDxfId="42"/>
    <tableColumn id="2" xr3:uid="{DAE2EC5A-77C7-4737-A60C-BB3B6795FEB0}" name="TAREA" dataDxfId="41"/>
    <tableColumn id="3" xr3:uid="{F7DE3BD7-CA51-4C24-94B1-BB1A715FE65E}" name="FECHA INICIO" dataDxfId="40"/>
    <tableColumn id="4" xr3:uid="{CFAC87FD-F935-45B8-9A74-BA6A57174011}" name="FECHA FINAL" dataDxfId="39"/>
    <tableColumn id="5" xr3:uid="{E7CD7AC5-BA7C-4418-B17F-CF6DC14E8B2A}" name="PORCENTAJE" dataDxfId="38"/>
    <tableColumn id="6" xr3:uid="{0F7BA3D2-D153-441B-AE08-3BD532E86591}" name="1" dataDxfId="37"/>
    <tableColumn id="7" xr3:uid="{BDF502CE-DD4C-4B2D-BA2D-82D131A76E84}" name="2" dataDxfId="36"/>
    <tableColumn id="8" xr3:uid="{ECDBA1A0-E522-4C13-831A-68953F10B2B5}" name="3" dataDxfId="35"/>
    <tableColumn id="9" xr3:uid="{70B4AD32-1328-4F87-94B8-4CCFA707F1C5}" name="4" dataDxfId="34"/>
    <tableColumn id="10" xr3:uid="{35A4BB54-A213-4FBC-B551-B5B074877A8F}" name="5" dataDxfId="33"/>
    <tableColumn id="11" xr3:uid="{18493830-3756-4C75-BCFB-D8526F45F2AE}" name="6" dataDxfId="32"/>
    <tableColumn id="12" xr3:uid="{AA55A7BC-1574-47C6-95BE-A6F1CDCDD1F9}" name="7" dataDxfId="31"/>
    <tableColumn id="13" xr3:uid="{9C3598CD-F36D-4A6D-BFA5-D2C2343E3051}" name="8" dataDxfId="30"/>
    <tableColumn id="14" xr3:uid="{81230B4C-48C4-4D47-B6D9-92CE0B0FA72E}" name="9" dataDxfId="29"/>
    <tableColumn id="15" xr3:uid="{A67E2365-36CA-4947-A00C-E293F523E8FD}" name="10" dataDxfId="28"/>
    <tableColumn id="16" xr3:uid="{78C9BCCD-D49F-4A35-9717-B00A45DC8F38}" name="11" dataDxfId="27"/>
    <tableColumn id="17" xr3:uid="{68DCE315-9A96-454E-B875-CA1C140E94AB}" name="12" dataDxfId="26"/>
    <tableColumn id="18" xr3:uid="{3CEF1088-9337-46E4-8E42-C9C7D339DC9F}" name="13" dataDxfId="25"/>
    <tableColumn id="19" xr3:uid="{FADFE9F8-5941-42B5-B7EF-07F5EC4BE0ED}" name="14" dataDxfId="24"/>
    <tableColumn id="20" xr3:uid="{87D4F883-BE76-43C6-9AD3-0247804C8362}" name="15" dataDxfId="23"/>
    <tableColumn id="21" xr3:uid="{8A88377F-37ED-41CD-A3FF-240031231EE4}" name="16" dataDxfId="22"/>
    <tableColumn id="22" xr3:uid="{099E3B67-36EB-407F-9852-2F1A14EA2CBA}" name="17" dataDxfId="21"/>
    <tableColumn id="23" xr3:uid="{13ED87FA-0CBE-48EA-9786-653A8EFCB575}" name="18" dataDxfId="20"/>
    <tableColumn id="24" xr3:uid="{7E0D3DFF-F6C5-429F-96BD-C2B6FC5E2588}" name="19" dataDxfId="19"/>
    <tableColumn id="25" xr3:uid="{8D62F48A-DD7C-43A3-BE8B-32EA757C74E7}" name="20" dataDxfId="18"/>
    <tableColumn id="26" xr3:uid="{6206E014-8E9B-4B06-8DC4-14BA322C4898}" name="21" dataDxfId="17"/>
    <tableColumn id="27" xr3:uid="{5A30138B-3A9E-40D2-A783-DD6B03FEC4BE}" name="22" dataDxfId="16"/>
    <tableColumn id="28" xr3:uid="{86D339EF-E88A-4A61-8E31-59ECEF544EF1}" name="23" dataDxfId="15"/>
    <tableColumn id="29" xr3:uid="{DDF6538A-C7AA-46FD-8F53-CF70B8BEFD18}" name="24" dataDxfId="14"/>
    <tableColumn id="30" xr3:uid="{A75287C2-BAD0-44CA-83AF-E91CEB5F0F0C}" name="25" dataDxfId="13"/>
    <tableColumn id="31" xr3:uid="{B7231EF7-2A54-4BCB-9EA8-5159C69E1D86}" name="26" dataDxfId="12"/>
    <tableColumn id="32" xr3:uid="{E7E525B3-9DF9-41A4-A313-7F83F3B6EF3E}" name="27" dataDxfId="11"/>
    <tableColumn id="33" xr3:uid="{FA9C854D-97F6-47DC-9674-E020408B98EB}" name="28" dataDxfId="10"/>
    <tableColumn id="34" xr3:uid="{A1DF853D-39F6-486C-9CEC-DF58FF768E27}" name="29" dataDxfId="9"/>
    <tableColumn id="35" xr3:uid="{B5C95F36-8AAD-4E27-93B3-587B01512A2D}" name="30" dataDxfId="8"/>
    <tableColumn id="36" xr3:uid="{E64DC934-EE52-4B4A-A158-C8F43F18D3CD}" name="31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297B5B-E52C-448D-A5F6-62ACE28FD1F1}" name="personal_tareas" displayName="personal_tareas" ref="A1:B19" totalsRowShown="0" headerRowDxfId="6" dataDxfId="4" headerRowBorderDxfId="5" tableBorderDxfId="3" totalsRowBorderDxfId="2">
  <autoFilter ref="A1:B19" xr:uid="{5C297B5B-E52C-448D-A5F6-62ACE28FD1F1}"/>
  <tableColumns count="2">
    <tableColumn id="2" xr3:uid="{10247A88-F8AE-43D6-B618-833889B22A5C}" name="nro_persona" dataDxfId="1"/>
    <tableColumn id="3" xr3:uid="{903D051F-0276-451B-8107-6270AE3E5645}" name="nro_tare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F25"/>
  <sheetViews>
    <sheetView zoomScale="85" zoomScaleNormal="85" workbookViewId="0">
      <selection activeCell="F25" sqref="F25"/>
    </sheetView>
  </sheetViews>
  <sheetFormatPr baseColWidth="10" defaultColWidth="9.109375" defaultRowHeight="14.4" x14ac:dyDescent="0.3"/>
  <cols>
    <col min="2" max="2" width="19.88671875" customWidth="1"/>
    <col min="3" max="3" width="17.5546875" customWidth="1"/>
    <col min="4" max="4" width="36.109375" customWidth="1"/>
    <col min="5" max="5" width="16.5546875" style="7" customWidth="1"/>
    <col min="6" max="6" width="17" style="7" customWidth="1"/>
  </cols>
  <sheetData>
    <row r="2" spans="2:6" ht="15.6" x14ac:dyDescent="0.3">
      <c r="B2" s="61" t="s">
        <v>52</v>
      </c>
      <c r="C2" s="61"/>
      <c r="D2" s="61"/>
      <c r="E2" s="61"/>
      <c r="F2" s="61"/>
    </row>
    <row r="3" spans="2:6" ht="15.6" x14ac:dyDescent="0.3">
      <c r="B3" s="24" t="s">
        <v>94</v>
      </c>
      <c r="C3" s="11" t="s">
        <v>56</v>
      </c>
      <c r="D3" s="11" t="s">
        <v>57</v>
      </c>
      <c r="E3" s="11" t="s">
        <v>58</v>
      </c>
      <c r="F3" s="11" t="s">
        <v>59</v>
      </c>
    </row>
    <row r="4" spans="2:6" s="1" customFormat="1" ht="13.2" x14ac:dyDescent="0.25">
      <c r="B4" s="4">
        <v>1</v>
      </c>
      <c r="C4" s="8" t="s">
        <v>0</v>
      </c>
      <c r="D4" s="8" t="s">
        <v>1</v>
      </c>
      <c r="E4" s="5"/>
      <c r="F4" s="5"/>
    </row>
    <row r="5" spans="2:6" s="1" customFormat="1" ht="13.2" x14ac:dyDescent="0.25">
      <c r="B5" s="4">
        <v>2</v>
      </c>
      <c r="C5" s="8" t="s">
        <v>0</v>
      </c>
      <c r="D5" s="8" t="s">
        <v>2</v>
      </c>
      <c r="E5" s="5"/>
      <c r="F5" s="5"/>
    </row>
    <row r="6" spans="2:6" s="1" customFormat="1" ht="13.2" x14ac:dyDescent="0.25">
      <c r="B6" s="4">
        <v>3</v>
      </c>
      <c r="C6" s="9" t="s">
        <v>0</v>
      </c>
      <c r="D6" s="9" t="s">
        <v>3</v>
      </c>
      <c r="E6" s="6"/>
      <c r="F6" s="6"/>
    </row>
    <row r="7" spans="2:6" s="1" customFormat="1" ht="13.2" x14ac:dyDescent="0.25">
      <c r="B7" s="4">
        <v>4</v>
      </c>
      <c r="C7" s="9" t="s">
        <v>0</v>
      </c>
      <c r="D7" s="9" t="s">
        <v>4</v>
      </c>
      <c r="E7" s="6"/>
      <c r="F7" s="6"/>
    </row>
    <row r="8" spans="2:6" s="1" customFormat="1" ht="13.2" x14ac:dyDescent="0.25">
      <c r="B8" s="4">
        <v>5</v>
      </c>
      <c r="C8" s="10" t="s">
        <v>5</v>
      </c>
      <c r="D8" s="10" t="s">
        <v>6</v>
      </c>
      <c r="E8" s="5" t="s">
        <v>28</v>
      </c>
      <c r="F8" s="5" t="s">
        <v>29</v>
      </c>
    </row>
    <row r="9" spans="2:6" s="1" customFormat="1" ht="13.2" x14ac:dyDescent="0.25">
      <c r="B9" s="4">
        <v>6</v>
      </c>
      <c r="C9" s="10" t="s">
        <v>5</v>
      </c>
      <c r="D9" s="10" t="s">
        <v>8</v>
      </c>
      <c r="E9" s="5" t="s">
        <v>31</v>
      </c>
      <c r="F9" s="5"/>
    </row>
    <row r="10" spans="2:6" s="1" customFormat="1" ht="13.2" x14ac:dyDescent="0.25">
      <c r="B10" s="4">
        <v>7</v>
      </c>
      <c r="C10" s="9" t="s">
        <v>7</v>
      </c>
      <c r="D10" s="9" t="s">
        <v>23</v>
      </c>
      <c r="E10" s="6"/>
      <c r="F10" s="6"/>
    </row>
    <row r="11" spans="2:6" s="1" customFormat="1" ht="13.2" x14ac:dyDescent="0.25">
      <c r="B11" s="4">
        <v>8</v>
      </c>
      <c r="C11" s="10" t="s">
        <v>9</v>
      </c>
      <c r="D11" s="10" t="s">
        <v>10</v>
      </c>
      <c r="E11" s="5" t="s">
        <v>29</v>
      </c>
      <c r="F11" s="5"/>
    </row>
    <row r="12" spans="2:6" s="1" customFormat="1" ht="13.2" x14ac:dyDescent="0.25">
      <c r="B12" s="4">
        <v>9</v>
      </c>
      <c r="C12" s="10" t="s">
        <v>9</v>
      </c>
      <c r="D12" s="10" t="s">
        <v>11</v>
      </c>
      <c r="E12" s="5" t="s">
        <v>29</v>
      </c>
      <c r="F12" s="5"/>
    </row>
    <row r="13" spans="2:6" s="1" customFormat="1" ht="13.2" x14ac:dyDescent="0.25">
      <c r="B13" s="4">
        <v>10</v>
      </c>
      <c r="C13" s="10" t="s">
        <v>9</v>
      </c>
      <c r="D13" s="10" t="s">
        <v>12</v>
      </c>
      <c r="E13" s="5" t="s">
        <v>30</v>
      </c>
      <c r="F13" s="5" t="s">
        <v>32</v>
      </c>
    </row>
    <row r="14" spans="2:6" s="1" customFormat="1" ht="13.2" x14ac:dyDescent="0.25">
      <c r="B14" s="4">
        <v>11</v>
      </c>
      <c r="C14" s="10" t="s">
        <v>9</v>
      </c>
      <c r="D14" s="10" t="s">
        <v>13</v>
      </c>
      <c r="E14" s="5" t="s">
        <v>32</v>
      </c>
      <c r="F14" s="5"/>
    </row>
    <row r="15" spans="2:6" s="1" customFormat="1" ht="13.2" x14ac:dyDescent="0.25">
      <c r="B15" s="4">
        <v>12</v>
      </c>
      <c r="C15" s="9" t="s">
        <v>9</v>
      </c>
      <c r="D15" s="9" t="s">
        <v>24</v>
      </c>
      <c r="E15" s="6" t="s">
        <v>32</v>
      </c>
      <c r="F15" s="6"/>
    </row>
    <row r="16" spans="2:6" s="1" customFormat="1" ht="13.2" x14ac:dyDescent="0.25">
      <c r="B16" s="4">
        <v>13</v>
      </c>
      <c r="C16" s="9" t="s">
        <v>9</v>
      </c>
      <c r="D16" s="9" t="s">
        <v>25</v>
      </c>
      <c r="E16" s="6"/>
      <c r="F16" s="6"/>
    </row>
    <row r="17" spans="2:6" s="1" customFormat="1" ht="13.2" x14ac:dyDescent="0.25">
      <c r="B17" s="4">
        <v>14</v>
      </c>
      <c r="C17" s="10" t="s">
        <v>14</v>
      </c>
      <c r="D17" s="10" t="s">
        <v>15</v>
      </c>
      <c r="E17" s="5" t="s">
        <v>32</v>
      </c>
      <c r="F17" s="5"/>
    </row>
    <row r="18" spans="2:6" s="1" customFormat="1" ht="13.2" x14ac:dyDescent="0.25">
      <c r="B18" s="4">
        <v>15</v>
      </c>
      <c r="C18" s="10" t="s">
        <v>16</v>
      </c>
      <c r="D18" s="10" t="s">
        <v>17</v>
      </c>
      <c r="E18" s="5" t="s">
        <v>33</v>
      </c>
      <c r="F18" s="5"/>
    </row>
    <row r="19" spans="2:6" s="1" customFormat="1" ht="13.2" x14ac:dyDescent="0.25">
      <c r="B19" s="4">
        <v>16</v>
      </c>
      <c r="C19" s="9" t="s">
        <v>16</v>
      </c>
      <c r="D19" s="9" t="s">
        <v>26</v>
      </c>
      <c r="E19" s="6"/>
      <c r="F19" s="6"/>
    </row>
    <row r="20" spans="2:6" s="1" customFormat="1" ht="13.2" x14ac:dyDescent="0.25">
      <c r="B20" s="4">
        <v>17</v>
      </c>
      <c r="C20" s="10" t="s">
        <v>14</v>
      </c>
      <c r="D20" s="10" t="s">
        <v>18</v>
      </c>
      <c r="E20" s="5" t="s">
        <v>32</v>
      </c>
      <c r="F20" s="5"/>
    </row>
    <row r="21" spans="2:6" s="1" customFormat="1" ht="13.2" x14ac:dyDescent="0.25">
      <c r="B21" s="4">
        <v>18</v>
      </c>
      <c r="C21" s="9" t="s">
        <v>14</v>
      </c>
      <c r="D21" s="9" t="s">
        <v>19</v>
      </c>
      <c r="E21" s="6" t="s">
        <v>32</v>
      </c>
      <c r="F21" s="6"/>
    </row>
    <row r="22" spans="2:6" s="1" customFormat="1" ht="13.2" x14ac:dyDescent="0.25">
      <c r="B22" s="4">
        <v>19</v>
      </c>
      <c r="C22" s="10" t="s">
        <v>20</v>
      </c>
      <c r="D22" s="10" t="s">
        <v>21</v>
      </c>
      <c r="E22" s="5" t="s">
        <v>32</v>
      </c>
      <c r="F22" s="5"/>
    </row>
    <row r="23" spans="2:6" s="1" customFormat="1" ht="13.2" x14ac:dyDescent="0.25">
      <c r="B23" s="4">
        <v>20</v>
      </c>
      <c r="C23" s="10" t="s">
        <v>20</v>
      </c>
      <c r="D23" s="10" t="s">
        <v>22</v>
      </c>
      <c r="E23" s="5" t="s">
        <v>33</v>
      </c>
      <c r="F23" s="5"/>
    </row>
    <row r="24" spans="2:6" s="1" customFormat="1" ht="13.2" x14ac:dyDescent="0.25">
      <c r="B24" s="13">
        <v>21</v>
      </c>
      <c r="C24" s="14" t="s">
        <v>20</v>
      </c>
      <c r="D24" s="14" t="s">
        <v>27</v>
      </c>
      <c r="E24" s="3"/>
      <c r="F24" s="3"/>
    </row>
    <row r="25" spans="2:6" x14ac:dyDescent="0.3">
      <c r="B25" s="13">
        <v>22</v>
      </c>
      <c r="C25" s="14" t="s">
        <v>99</v>
      </c>
      <c r="D25" s="14" t="s">
        <v>100</v>
      </c>
      <c r="E25" s="3" t="s">
        <v>101</v>
      </c>
      <c r="F25" s="3" t="s">
        <v>102</v>
      </c>
    </row>
  </sheetData>
  <mergeCells count="1">
    <mergeCell ref="B2:F2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80468-A8D9-4F79-934A-687738BBE488}">
  <sheetPr codeName="Hoja2"/>
  <dimension ref="A1:AJ14"/>
  <sheetViews>
    <sheetView zoomScaleNormal="100" workbookViewId="0">
      <selection activeCell="B28" sqref="B28"/>
    </sheetView>
  </sheetViews>
  <sheetFormatPr baseColWidth="10" defaultRowHeight="14.4" x14ac:dyDescent="0.3"/>
  <cols>
    <col min="1" max="1" width="12.44140625" style="22" bestFit="1" customWidth="1"/>
    <col min="2" max="2" width="30.33203125" bestFit="1" customWidth="1"/>
    <col min="3" max="3" width="17.77734375" bestFit="1" customWidth="1"/>
    <col min="4" max="4" width="17.33203125" bestFit="1" customWidth="1"/>
    <col min="5" max="5" width="17.88671875" bestFit="1" customWidth="1"/>
    <col min="6" max="14" width="3.88671875" customWidth="1"/>
    <col min="15" max="36" width="4.88671875" customWidth="1"/>
  </cols>
  <sheetData>
    <row r="1" spans="1:36" s="18" customFormat="1" x14ac:dyDescent="0.3">
      <c r="A1" s="21" t="s">
        <v>95</v>
      </c>
      <c r="B1" s="15" t="s">
        <v>36</v>
      </c>
      <c r="C1" s="19" t="s">
        <v>34</v>
      </c>
      <c r="D1" s="19" t="s">
        <v>96</v>
      </c>
      <c r="E1" s="20" t="s">
        <v>46</v>
      </c>
      <c r="F1" s="16" t="s">
        <v>60</v>
      </c>
      <c r="G1" s="16" t="s">
        <v>61</v>
      </c>
      <c r="H1" s="16" t="s">
        <v>62</v>
      </c>
      <c r="I1" s="16" t="s">
        <v>63</v>
      </c>
      <c r="J1" s="16" t="s">
        <v>64</v>
      </c>
      <c r="K1" s="16" t="s">
        <v>65</v>
      </c>
      <c r="L1" s="16" t="s">
        <v>66</v>
      </c>
      <c r="M1" s="16" t="s">
        <v>67</v>
      </c>
      <c r="N1" s="16" t="s">
        <v>68</v>
      </c>
      <c r="O1" s="16" t="s">
        <v>69</v>
      </c>
      <c r="P1" s="16" t="s">
        <v>70</v>
      </c>
      <c r="Q1" s="16" t="s">
        <v>71</v>
      </c>
      <c r="R1" s="16" t="s">
        <v>72</v>
      </c>
      <c r="S1" s="16" t="s">
        <v>73</v>
      </c>
      <c r="T1" s="16" t="s">
        <v>74</v>
      </c>
      <c r="U1" s="16" t="s">
        <v>75</v>
      </c>
      <c r="V1" s="16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16" t="s">
        <v>82</v>
      </c>
      <c r="AC1" s="16" t="s">
        <v>83</v>
      </c>
      <c r="AD1" s="16" t="s">
        <v>84</v>
      </c>
      <c r="AE1" s="16" t="s">
        <v>85</v>
      </c>
      <c r="AF1" s="16" t="s">
        <v>86</v>
      </c>
      <c r="AG1" s="16" t="s">
        <v>87</v>
      </c>
      <c r="AH1" s="16" t="s">
        <v>88</v>
      </c>
      <c r="AI1" s="16" t="s">
        <v>89</v>
      </c>
      <c r="AJ1" s="17" t="s">
        <v>90</v>
      </c>
    </row>
    <row r="2" spans="1:36" x14ac:dyDescent="0.3">
      <c r="A2" s="32">
        <v>1</v>
      </c>
      <c r="B2" s="38" t="s">
        <v>37</v>
      </c>
      <c r="C2" s="33">
        <v>46024</v>
      </c>
      <c r="D2" s="33">
        <v>46032</v>
      </c>
      <c r="E2" s="34">
        <v>0.55000000000000004</v>
      </c>
      <c r="F2" s="43"/>
      <c r="G2" s="44">
        <v>10</v>
      </c>
      <c r="H2" s="44">
        <v>5</v>
      </c>
      <c r="I2" s="44">
        <v>5</v>
      </c>
      <c r="J2" s="44">
        <v>4</v>
      </c>
      <c r="K2" s="44">
        <v>2</v>
      </c>
      <c r="L2" s="44">
        <v>8</v>
      </c>
      <c r="M2" s="44">
        <v>40</v>
      </c>
      <c r="N2" s="44">
        <v>5</v>
      </c>
      <c r="O2" s="44">
        <v>5</v>
      </c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5"/>
    </row>
    <row r="3" spans="1:36" x14ac:dyDescent="0.3">
      <c r="A3" s="32">
        <v>2</v>
      </c>
      <c r="B3" s="38" t="s">
        <v>105</v>
      </c>
      <c r="C3" s="33">
        <v>46033</v>
      </c>
      <c r="D3" s="33"/>
      <c r="E3" s="34">
        <v>0.79</v>
      </c>
      <c r="F3" s="41"/>
      <c r="G3" s="41"/>
      <c r="H3" s="41"/>
      <c r="I3" s="41"/>
      <c r="J3" s="41"/>
      <c r="K3" s="41"/>
      <c r="L3" s="41"/>
      <c r="M3" s="41"/>
      <c r="N3" s="41"/>
      <c r="O3" s="41"/>
      <c r="P3" s="44">
        <v>4</v>
      </c>
      <c r="Q3" s="44">
        <v>40</v>
      </c>
      <c r="R3" s="44">
        <v>20</v>
      </c>
      <c r="S3" s="44">
        <v>5</v>
      </c>
      <c r="T3" s="44">
        <v>5</v>
      </c>
      <c r="U3" s="41"/>
      <c r="V3" s="46">
        <v>5</v>
      </c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5"/>
    </row>
    <row r="4" spans="1:36" x14ac:dyDescent="0.3">
      <c r="A4" s="32">
        <v>3</v>
      </c>
      <c r="B4" s="38" t="s">
        <v>108</v>
      </c>
      <c r="C4" s="33">
        <v>46032</v>
      </c>
      <c r="D4" s="33"/>
      <c r="E4" s="34">
        <v>0.43</v>
      </c>
      <c r="F4" s="41"/>
      <c r="G4" s="41"/>
      <c r="H4" s="41"/>
      <c r="I4" s="41"/>
      <c r="J4" s="41"/>
      <c r="K4" s="41"/>
      <c r="L4" s="41"/>
      <c r="M4" s="41"/>
      <c r="N4" s="41"/>
      <c r="O4" s="41">
        <v>5</v>
      </c>
      <c r="P4" s="47">
        <v>11</v>
      </c>
      <c r="Q4" s="41">
        <v>5</v>
      </c>
      <c r="R4" s="44">
        <v>10</v>
      </c>
      <c r="S4" s="44">
        <v>5</v>
      </c>
      <c r="T4" s="41"/>
      <c r="U4" s="41"/>
      <c r="V4" s="41"/>
      <c r="W4" s="41"/>
      <c r="X4" s="44">
        <v>5</v>
      </c>
      <c r="Y4" s="48">
        <v>2</v>
      </c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5"/>
    </row>
    <row r="5" spans="1:36" x14ac:dyDescent="0.3">
      <c r="A5" s="32">
        <v>4</v>
      </c>
      <c r="B5" s="38" t="s">
        <v>97</v>
      </c>
      <c r="C5" s="33">
        <v>46038</v>
      </c>
      <c r="D5" s="33">
        <v>46050</v>
      </c>
      <c r="E5" s="34">
        <v>0.05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4">
        <v>5</v>
      </c>
      <c r="AH5" s="41"/>
      <c r="AI5" s="41"/>
      <c r="AJ5" s="45"/>
    </row>
    <row r="6" spans="1:36" x14ac:dyDescent="0.3">
      <c r="A6" s="32">
        <v>5</v>
      </c>
      <c r="B6" s="38" t="s">
        <v>41</v>
      </c>
      <c r="C6" s="33">
        <v>46024</v>
      </c>
      <c r="D6" s="33"/>
      <c r="E6" s="34">
        <v>0.26</v>
      </c>
      <c r="F6" s="41"/>
      <c r="G6" s="44">
        <v>4</v>
      </c>
      <c r="H6" s="49"/>
      <c r="I6" s="44">
        <v>12</v>
      </c>
      <c r="J6" s="50"/>
      <c r="K6" s="44">
        <v>10</v>
      </c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5"/>
    </row>
    <row r="7" spans="1:36" x14ac:dyDescent="0.3">
      <c r="A7" s="32">
        <v>6</v>
      </c>
      <c r="B7" s="38" t="s">
        <v>98</v>
      </c>
      <c r="C7" s="33">
        <v>46032</v>
      </c>
      <c r="D7" s="33"/>
      <c r="E7" s="34">
        <v>0.25</v>
      </c>
      <c r="F7" s="41"/>
      <c r="G7" s="41"/>
      <c r="H7" s="41"/>
      <c r="I7" s="41"/>
      <c r="J7" s="41"/>
      <c r="K7" s="41"/>
      <c r="L7" s="41"/>
      <c r="M7" s="41"/>
      <c r="N7" s="41"/>
      <c r="O7" s="44">
        <v>20</v>
      </c>
      <c r="P7" s="44">
        <v>5</v>
      </c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5"/>
    </row>
    <row r="8" spans="1:36" x14ac:dyDescent="0.3">
      <c r="A8" s="32">
        <v>7</v>
      </c>
      <c r="B8" s="38" t="s">
        <v>42</v>
      </c>
      <c r="C8" s="33">
        <v>46044</v>
      </c>
      <c r="D8" s="33">
        <f>tareas[[#This Row],[FECHA INICIO]]+5</f>
        <v>46049</v>
      </c>
      <c r="E8" s="34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5"/>
    </row>
    <row r="9" spans="1:36" x14ac:dyDescent="0.3">
      <c r="A9" s="32">
        <v>8</v>
      </c>
      <c r="B9" s="38" t="s">
        <v>54</v>
      </c>
      <c r="C9" s="33">
        <v>46032</v>
      </c>
      <c r="D9" s="33"/>
      <c r="E9" s="34">
        <v>0.15</v>
      </c>
      <c r="F9" s="41"/>
      <c r="G9" s="41"/>
      <c r="H9" s="41"/>
      <c r="I9" s="41"/>
      <c r="J9" s="41"/>
      <c r="K9" s="41"/>
      <c r="L9" s="41"/>
      <c r="M9" s="41"/>
      <c r="N9" s="41"/>
      <c r="O9" s="44">
        <v>10</v>
      </c>
      <c r="P9" s="41"/>
      <c r="Q9" s="44">
        <v>5</v>
      </c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5"/>
    </row>
    <row r="10" spans="1:36" x14ac:dyDescent="0.3">
      <c r="A10" s="35">
        <v>9</v>
      </c>
      <c r="B10" s="39" t="s">
        <v>55</v>
      </c>
      <c r="C10" s="36">
        <v>46032</v>
      </c>
      <c r="D10" s="36">
        <v>46035</v>
      </c>
      <c r="E10" s="37">
        <v>0.52</v>
      </c>
      <c r="F10" s="51"/>
      <c r="G10" s="51"/>
      <c r="H10" s="51"/>
      <c r="I10" s="51"/>
      <c r="J10" s="51"/>
      <c r="K10" s="51"/>
      <c r="L10" s="51"/>
      <c r="M10" s="51"/>
      <c r="N10" s="51"/>
      <c r="O10" s="52">
        <v>13</v>
      </c>
      <c r="P10" s="53">
        <v>26</v>
      </c>
      <c r="Q10" s="51"/>
      <c r="R10" s="54">
        <v>13</v>
      </c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5"/>
    </row>
    <row r="11" spans="1:36" x14ac:dyDescent="0.3">
      <c r="A11" s="32">
        <v>10</v>
      </c>
      <c r="B11" s="38" t="s">
        <v>103</v>
      </c>
      <c r="C11" s="33"/>
      <c r="D11" s="33"/>
      <c r="E11" s="34">
        <v>0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5"/>
    </row>
    <row r="12" spans="1:36" x14ac:dyDescent="0.3">
      <c r="A12" s="32">
        <v>11</v>
      </c>
      <c r="B12" s="38" t="s">
        <v>106</v>
      </c>
      <c r="C12" s="33">
        <v>46032</v>
      </c>
      <c r="D12" s="33"/>
      <c r="E12" s="34">
        <v>0.15</v>
      </c>
      <c r="F12" s="41"/>
      <c r="G12" s="41"/>
      <c r="H12" s="41"/>
      <c r="I12" s="41"/>
      <c r="J12" s="41"/>
      <c r="K12" s="41"/>
      <c r="L12" s="41"/>
      <c r="M12" s="41"/>
      <c r="N12" s="41"/>
      <c r="O12" s="44">
        <v>5</v>
      </c>
      <c r="P12" s="44">
        <v>5</v>
      </c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4">
        <v>5</v>
      </c>
      <c r="AJ12" s="45"/>
    </row>
    <row r="13" spans="1:36" x14ac:dyDescent="0.3">
      <c r="A13" s="32">
        <v>12</v>
      </c>
      <c r="B13" s="38" t="s">
        <v>107</v>
      </c>
      <c r="C13" s="33">
        <v>46023</v>
      </c>
      <c r="D13" s="33"/>
      <c r="E13" s="34">
        <v>0.2</v>
      </c>
      <c r="F13" s="44">
        <v>5</v>
      </c>
      <c r="G13" s="44">
        <v>5</v>
      </c>
      <c r="H13" s="44">
        <v>10</v>
      </c>
      <c r="I13" s="48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5"/>
    </row>
    <row r="14" spans="1:36" x14ac:dyDescent="0.3">
      <c r="A14" s="32">
        <v>13</v>
      </c>
      <c r="B14" s="38" t="s">
        <v>104</v>
      </c>
      <c r="C14" s="33"/>
      <c r="D14" s="33"/>
      <c r="E14" s="34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5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50FC-A91A-4E7A-9909-E51F5EDD853F}">
  <sheetPr codeName="Hoja3"/>
  <dimension ref="A1:B19"/>
  <sheetViews>
    <sheetView zoomScale="115" zoomScaleNormal="115" workbookViewId="0">
      <selection activeCell="E20" sqref="E20"/>
    </sheetView>
  </sheetViews>
  <sheetFormatPr baseColWidth="10" defaultRowHeight="14.4" x14ac:dyDescent="0.3"/>
  <cols>
    <col min="1" max="1" width="13.88671875" bestFit="1" customWidth="1"/>
    <col min="2" max="2" width="11.5546875" bestFit="1" customWidth="1"/>
  </cols>
  <sheetData>
    <row r="1" spans="1:2" s="23" customFormat="1" x14ac:dyDescent="0.3">
      <c r="A1" s="25" t="s">
        <v>91</v>
      </c>
      <c r="B1" s="26" t="s">
        <v>92</v>
      </c>
    </row>
    <row r="2" spans="1:2" x14ac:dyDescent="0.3">
      <c r="A2" s="27">
        <v>1</v>
      </c>
      <c r="B2" s="28">
        <v>1</v>
      </c>
    </row>
    <row r="3" spans="1:2" x14ac:dyDescent="0.3">
      <c r="A3" s="27">
        <v>1</v>
      </c>
      <c r="B3" s="28">
        <v>2</v>
      </c>
    </row>
    <row r="4" spans="1:2" x14ac:dyDescent="0.3">
      <c r="A4" s="29">
        <v>2</v>
      </c>
      <c r="B4" s="30">
        <v>4</v>
      </c>
    </row>
    <row r="5" spans="1:2" x14ac:dyDescent="0.3">
      <c r="A5" s="29">
        <v>2</v>
      </c>
      <c r="B5" s="30">
        <v>5</v>
      </c>
    </row>
    <row r="6" spans="1:2" x14ac:dyDescent="0.3">
      <c r="A6" s="29">
        <v>2</v>
      </c>
      <c r="B6" s="30">
        <v>6</v>
      </c>
    </row>
    <row r="7" spans="1:2" x14ac:dyDescent="0.3">
      <c r="A7" s="29">
        <v>3</v>
      </c>
      <c r="B7" s="30">
        <v>7</v>
      </c>
    </row>
    <row r="8" spans="1:2" x14ac:dyDescent="0.3">
      <c r="A8" s="29">
        <v>3</v>
      </c>
      <c r="B8" s="30">
        <v>8</v>
      </c>
    </row>
    <row r="9" spans="1:2" x14ac:dyDescent="0.3">
      <c r="A9" s="29">
        <v>4</v>
      </c>
      <c r="B9" s="30">
        <v>8</v>
      </c>
    </row>
    <row r="10" spans="1:2" x14ac:dyDescent="0.3">
      <c r="A10" s="29">
        <v>5</v>
      </c>
      <c r="B10" s="30">
        <v>9</v>
      </c>
    </row>
    <row r="11" spans="1:2" x14ac:dyDescent="0.3">
      <c r="A11" s="29">
        <v>5</v>
      </c>
      <c r="B11" s="30">
        <v>1</v>
      </c>
    </row>
    <row r="12" spans="1:2" x14ac:dyDescent="0.3">
      <c r="A12" s="29">
        <v>5</v>
      </c>
      <c r="B12" s="30">
        <v>2</v>
      </c>
    </row>
    <row r="13" spans="1:2" x14ac:dyDescent="0.3">
      <c r="A13" s="29">
        <v>2</v>
      </c>
      <c r="B13" s="30">
        <v>11</v>
      </c>
    </row>
    <row r="14" spans="1:2" x14ac:dyDescent="0.3">
      <c r="A14" s="29">
        <v>1</v>
      </c>
      <c r="B14" s="30">
        <v>11</v>
      </c>
    </row>
    <row r="15" spans="1:2" x14ac:dyDescent="0.3">
      <c r="A15" s="29">
        <v>3</v>
      </c>
      <c r="B15" s="30">
        <v>11</v>
      </c>
    </row>
    <row r="16" spans="1:2" x14ac:dyDescent="0.3">
      <c r="A16" s="29">
        <v>1</v>
      </c>
      <c r="B16" s="30">
        <v>13</v>
      </c>
    </row>
    <row r="17" spans="1:2" x14ac:dyDescent="0.3">
      <c r="A17" s="29">
        <v>1</v>
      </c>
      <c r="B17" s="30">
        <v>12</v>
      </c>
    </row>
    <row r="18" spans="1:2" x14ac:dyDescent="0.3">
      <c r="A18" s="29">
        <v>10</v>
      </c>
      <c r="B18" s="30">
        <v>12</v>
      </c>
    </row>
    <row r="19" spans="1:2" x14ac:dyDescent="0.3">
      <c r="A19" s="29">
        <v>21</v>
      </c>
      <c r="B19" s="30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2:AK1008"/>
  <sheetViews>
    <sheetView tabSelected="1" topLeftCell="A2" zoomScale="115" zoomScaleNormal="115" workbookViewId="0">
      <selection activeCell="D4" sqref="D4:R5"/>
    </sheetView>
  </sheetViews>
  <sheetFormatPr baseColWidth="10" defaultColWidth="9.109375" defaultRowHeight="13.2" x14ac:dyDescent="0.25"/>
  <cols>
    <col min="1" max="1" width="5" style="1" customWidth="1"/>
    <col min="2" max="2" width="3.88671875" style="12" bestFit="1" customWidth="1"/>
    <col min="3" max="3" width="31.5546875" style="1" bestFit="1" customWidth="1"/>
    <col min="4" max="4" width="13.6640625" style="2" customWidth="1"/>
    <col min="5" max="5" width="13" style="2" bestFit="1" customWidth="1"/>
    <col min="6" max="6" width="14.109375" style="2" customWidth="1"/>
    <col min="7" max="21" width="2.88671875" style="1" customWidth="1"/>
    <col min="22" max="22" width="3" style="1" bestFit="1" customWidth="1"/>
    <col min="23" max="37" width="2.88671875" style="1" customWidth="1"/>
    <col min="38" max="16384" width="9.109375" style="1"/>
  </cols>
  <sheetData>
    <row r="2" spans="1:37" ht="24.6" x14ac:dyDescent="0.4">
      <c r="C2" s="62" t="s">
        <v>53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</row>
    <row r="4" spans="1:37" ht="37.5" customHeight="1" x14ac:dyDescent="0.25">
      <c r="A4" s="66"/>
      <c r="B4" s="66"/>
      <c r="C4" s="10" t="str">
        <f>IFERROR(_xlfn.XLOOKUP(C5,personal[Apellidos y Nombres],personal[Grado]),"Sin grado")</f>
        <v>Sof.My.DESA</v>
      </c>
      <c r="D4" s="6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67" t="s">
        <v>38</v>
      </c>
      <c r="T4" s="67"/>
      <c r="U4" s="67"/>
      <c r="V4" s="67"/>
      <c r="X4" s="76" t="s">
        <v>40</v>
      </c>
      <c r="Y4" s="76"/>
      <c r="Z4" s="76"/>
      <c r="AA4" s="76"/>
      <c r="AB4" s="42"/>
      <c r="AC4" s="74" t="s">
        <v>49</v>
      </c>
      <c r="AD4" s="74"/>
      <c r="AE4" s="74"/>
      <c r="AF4" s="74"/>
      <c r="AH4" s="72" t="s">
        <v>50</v>
      </c>
      <c r="AI4" s="72"/>
      <c r="AJ4" s="72"/>
      <c r="AK4" s="72"/>
    </row>
    <row r="5" spans="1:37" ht="37.5" customHeight="1" x14ac:dyDescent="0.25">
      <c r="A5" s="66"/>
      <c r="B5" s="66"/>
      <c r="C5" s="10" t="s">
        <v>3</v>
      </c>
      <c r="D5" s="69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68" t="s">
        <v>39</v>
      </c>
      <c r="T5" s="68"/>
      <c r="U5" s="68"/>
      <c r="V5" s="68"/>
      <c r="X5" s="75" t="s">
        <v>48</v>
      </c>
      <c r="Y5" s="75"/>
      <c r="Z5" s="75"/>
      <c r="AA5" s="75"/>
      <c r="AB5" s="42"/>
      <c r="AC5" s="73" t="s">
        <v>47</v>
      </c>
      <c r="AD5" s="73"/>
      <c r="AE5" s="73"/>
      <c r="AF5" s="73"/>
      <c r="AG5" s="42"/>
      <c r="AH5" s="71" t="s">
        <v>51</v>
      </c>
      <c r="AI5" s="71"/>
      <c r="AJ5" s="71"/>
      <c r="AK5" s="71"/>
    </row>
    <row r="6" spans="1:37" ht="13.8" thickBot="1" x14ac:dyDescent="0.3">
      <c r="A6" s="40"/>
    </row>
    <row r="7" spans="1:37" ht="13.8" thickBot="1" x14ac:dyDescent="0.3">
      <c r="A7" s="31" t="s">
        <v>35</v>
      </c>
      <c r="B7" s="56" t="s">
        <v>93</v>
      </c>
      <c r="C7" s="57" t="s">
        <v>36</v>
      </c>
      <c r="D7" s="58" t="s">
        <v>34</v>
      </c>
      <c r="E7" s="59" t="s">
        <v>96</v>
      </c>
      <c r="F7" s="59" t="s">
        <v>46</v>
      </c>
      <c r="G7" s="60">
        <v>1</v>
      </c>
      <c r="H7" s="3">
        <v>2</v>
      </c>
      <c r="I7" s="3">
        <v>3</v>
      </c>
      <c r="J7" s="3">
        <v>4</v>
      </c>
      <c r="K7" s="3">
        <v>5</v>
      </c>
      <c r="L7" s="3">
        <v>6</v>
      </c>
      <c r="M7" s="3">
        <v>7</v>
      </c>
      <c r="N7" s="3">
        <v>8</v>
      </c>
      <c r="O7" s="3">
        <v>9</v>
      </c>
      <c r="P7" s="3">
        <v>10</v>
      </c>
      <c r="Q7" s="3">
        <v>11</v>
      </c>
      <c r="R7" s="3">
        <v>12</v>
      </c>
      <c r="S7" s="3">
        <v>13</v>
      </c>
      <c r="T7" s="3">
        <v>14</v>
      </c>
      <c r="U7" s="3">
        <v>15</v>
      </c>
      <c r="V7" s="3">
        <v>16</v>
      </c>
      <c r="W7" s="3">
        <v>17</v>
      </c>
      <c r="X7" s="3">
        <v>18</v>
      </c>
      <c r="Y7" s="3">
        <v>19</v>
      </c>
      <c r="Z7" s="3">
        <v>20</v>
      </c>
      <c r="AA7" s="3">
        <v>21</v>
      </c>
      <c r="AB7" s="3">
        <v>22</v>
      </c>
      <c r="AC7" s="3">
        <v>23</v>
      </c>
      <c r="AD7" s="3">
        <v>24</v>
      </c>
      <c r="AE7" s="3">
        <v>25</v>
      </c>
      <c r="AF7" s="3">
        <v>26</v>
      </c>
      <c r="AG7" s="3">
        <v>27</v>
      </c>
      <c r="AH7" s="3">
        <v>28</v>
      </c>
      <c r="AI7" s="3">
        <v>29</v>
      </c>
      <c r="AJ7" s="3">
        <v>30</v>
      </c>
      <c r="AK7" s="3">
        <v>31</v>
      </c>
    </row>
    <row r="8" spans="1:37" ht="14.4" customHeight="1" x14ac:dyDescent="0.25">
      <c r="A8" s="63" t="s">
        <v>43</v>
      </c>
      <c r="B8" s="41">
        <v>7</v>
      </c>
      <c r="C8" s="38" t="s">
        <v>42</v>
      </c>
      <c r="D8" s="33">
        <v>46044</v>
      </c>
      <c r="E8" s="33">
        <f>tareas[[#This Row],[FECHA INICIO]]+5</f>
        <v>46049</v>
      </c>
      <c r="F8" s="34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</row>
    <row r="9" spans="1:37" ht="14.4" customHeight="1" x14ac:dyDescent="0.25">
      <c r="A9" s="64"/>
      <c r="B9" s="41">
        <v>8</v>
      </c>
      <c r="C9" s="38" t="s">
        <v>54</v>
      </c>
      <c r="D9" s="33">
        <v>46032</v>
      </c>
      <c r="E9" s="33"/>
      <c r="F9" s="34">
        <v>0.15</v>
      </c>
      <c r="G9" s="41"/>
      <c r="H9" s="41"/>
      <c r="I9" s="41"/>
      <c r="J9" s="41"/>
      <c r="K9" s="41"/>
      <c r="L9" s="41"/>
      <c r="M9" s="41"/>
      <c r="N9" s="41"/>
      <c r="O9" s="41"/>
      <c r="P9" s="44">
        <v>10</v>
      </c>
      <c r="Q9" s="41"/>
      <c r="R9" s="44">
        <v>5</v>
      </c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</row>
    <row r="10" spans="1:37" ht="14.4" customHeight="1" x14ac:dyDescent="0.25">
      <c r="A10" s="64"/>
      <c r="B10" s="41">
        <v>11</v>
      </c>
      <c r="C10" s="38" t="s">
        <v>106</v>
      </c>
      <c r="D10" s="33">
        <v>46032</v>
      </c>
      <c r="E10" s="33"/>
      <c r="F10" s="34">
        <v>0.15</v>
      </c>
      <c r="G10" s="41"/>
      <c r="H10" s="41"/>
      <c r="I10" s="41"/>
      <c r="J10" s="41"/>
      <c r="K10" s="41"/>
      <c r="L10" s="41"/>
      <c r="M10" s="41"/>
      <c r="N10" s="41"/>
      <c r="O10" s="41"/>
      <c r="P10" s="44">
        <v>5</v>
      </c>
      <c r="Q10" s="44">
        <v>5</v>
      </c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4">
        <v>5</v>
      </c>
      <c r="AK10" s="41"/>
    </row>
    <row r="11" spans="1:37" ht="14.4" customHeight="1" x14ac:dyDescent="0.3">
      <c r="A11" s="64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ht="14.4" customHeight="1" x14ac:dyDescent="0.3">
      <c r="A12" s="64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ht="14.4" customHeight="1" x14ac:dyDescent="0.3">
      <c r="A13" s="64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5" thickBot="1" x14ac:dyDescent="0.35">
      <c r="A14" s="6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" customHeight="1" x14ac:dyDescent="0.3">
      <c r="A15" s="63" t="s">
        <v>44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4.4" x14ac:dyDescent="0.3">
      <c r="A16" s="6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4.4" x14ac:dyDescent="0.3">
      <c r="A17" s="6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4.4" x14ac:dyDescent="0.3">
      <c r="A18" s="6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4.4" x14ac:dyDescent="0.3">
      <c r="A19" s="6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4.4" x14ac:dyDescent="0.3">
      <c r="A20" s="6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" thickBot="1" x14ac:dyDescent="0.35">
      <c r="A21" s="6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7.25" customHeight="1" x14ac:dyDescent="0.3">
      <c r="A22" s="63" t="s">
        <v>45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4.4" x14ac:dyDescent="0.3">
      <c r="A23" s="64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" thickBot="1" x14ac:dyDescent="0.35">
      <c r="A24" s="6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4.4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ht="14.4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ht="14.4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ht="14.4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ht="14.4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ht="14.4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ht="14.4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ht="14.4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2:37" ht="14.4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2:37" ht="14.4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2:37" ht="14.4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14.4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14.4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14.4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14.4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14.4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14.4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14.4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14.4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2:37" ht="14.4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2:37" ht="14.4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2:37" ht="14.4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2:37" ht="14.4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2:37" ht="14.4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2:37" ht="14.4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2:37" ht="14.4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2:37" ht="14.4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2:37" ht="14.4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2:37" ht="14.4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2:37" ht="14.4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2:37" ht="14.4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2:37" ht="14.4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2:37" ht="14.4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2:37" ht="14.4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2:37" ht="14.4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2:37" ht="14.4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2:37" ht="14.4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2:37" ht="14.4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2:37" ht="14.4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2:37" ht="14.4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2:37" ht="14.4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2:37" ht="14.4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2:37" ht="14.4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2:37" ht="14.4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2:37" ht="14.4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2:37" ht="14.4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2:37" ht="14.4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2:37" ht="14.4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2:37" ht="14.4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2:37" ht="14.4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2:37" ht="14.4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2:37" ht="14.4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2:37" ht="14.4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2:37" ht="14.4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2:37" ht="14.4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2:37" ht="14.4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2:37" ht="14.4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2:37" ht="14.4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2:37" ht="14.4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2:37" ht="14.4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2:37" ht="14.4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2:37" ht="14.4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2:37" ht="14.4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2:37" ht="14.4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2:37" ht="14.4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2:37" ht="14.4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2:37" ht="14.4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2:37" ht="14.4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2:37" ht="14.4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2:37" ht="14.4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2:37" ht="14.4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2:37" ht="14.4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2:37" ht="14.4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2:37" ht="14.4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2:37" ht="14.4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2:37" ht="14.4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2:37" ht="14.4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2:37" ht="14.4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2:37" ht="14.4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2:37" ht="14.4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2:37" ht="14.4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2:37" ht="14.4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2:37" ht="14.4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2:37" ht="14.4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2:37" ht="14.4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2:37" ht="14.4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2:37" ht="14.4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2:37" ht="14.4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2:37" ht="14.4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2:37" ht="14.4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2:37" ht="14.4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2:37" ht="14.4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2:37" ht="14.4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2:37" ht="14.4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2:37" ht="14.4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2:37" ht="14.4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2:37" ht="14.4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2:37" ht="14.4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2:37" ht="14.4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2:37" ht="14.4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2:37" ht="14.4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2:37" ht="14.4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2:37" ht="14.4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2:37" ht="14.4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2:37" ht="14.4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2:37" ht="14.4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2:37" ht="14.4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2:37" ht="14.4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2:37" ht="14.4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2:37" ht="14.4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2:37" ht="14.4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2:37" ht="14.4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2:37" ht="14.4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2:37" ht="14.4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2:37" ht="14.4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2:37" ht="14.4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2:37" ht="14.4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2:37" ht="14.4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2:37" ht="14.4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2:37" ht="14.4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2:37" ht="14.4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2:37" ht="14.4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2:37" ht="14.4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2:37" ht="14.4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2:37" ht="14.4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2:37" ht="14.4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2:37" ht="14.4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2:37" ht="14.4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2:37" ht="14.4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2:37" ht="14.4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2:37" ht="14.4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2:37" ht="14.4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2:37" ht="14.4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2:37" ht="14.4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2:37" ht="14.4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2:37" ht="14.4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2:37" ht="14.4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2:37" ht="14.4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2:37" ht="14.4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2:37" ht="14.4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2:37" ht="14.4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2:37" ht="14.4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2:37" ht="14.4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2:37" ht="14.4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2:37" ht="14.4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2:37" ht="14.4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2:37" ht="14.4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2:37" ht="14.4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2:37" ht="14.4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2:37" ht="14.4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2:37" ht="14.4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2:37" ht="14.4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2:37" ht="14.4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2:37" ht="14.4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2:37" ht="14.4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2:37" ht="14.4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2:37" ht="14.4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2:37" ht="14.4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2:37" ht="14.4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2:37" ht="14.4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2:37" ht="14.4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2:37" ht="14.4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2:37" ht="14.4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2:37" ht="14.4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2:37" ht="14.4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2:37" ht="14.4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2:37" ht="14.4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2:37" ht="14.4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2:37" ht="14.4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2:37" ht="14.4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2:37" ht="14.4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2:37" ht="14.4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2:37" ht="14.4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2:37" ht="14.4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2:37" ht="14.4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2:37" ht="14.4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2:37" ht="14.4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2:37" ht="14.4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2:37" ht="14.4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2:37" ht="14.4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2:37" ht="14.4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  <row r="206" spans="2:37" ht="14.4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</row>
    <row r="207" spans="2:37" ht="14.4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</row>
    <row r="208" spans="2:37" ht="14.4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</row>
    <row r="209" spans="2:37" ht="14.4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</row>
    <row r="210" spans="2:37" ht="14.4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</row>
    <row r="211" spans="2:37" ht="14.4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</row>
    <row r="212" spans="2:37" ht="14.4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</row>
    <row r="213" spans="2:37" ht="14.4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</row>
    <row r="214" spans="2:37" ht="14.4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</row>
    <row r="215" spans="2:37" ht="14.4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</row>
    <row r="216" spans="2:37" ht="14.4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</row>
    <row r="217" spans="2:37" ht="14.4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</row>
    <row r="218" spans="2:37" ht="14.4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</row>
    <row r="219" spans="2:37" ht="14.4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</row>
    <row r="220" spans="2:37" ht="14.4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</row>
    <row r="221" spans="2:37" ht="14.4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</row>
    <row r="222" spans="2:37" ht="14.4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</row>
    <row r="223" spans="2:37" ht="14.4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</row>
    <row r="224" spans="2:37" ht="14.4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</row>
    <row r="225" spans="2:37" ht="14.4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</row>
    <row r="226" spans="2:37" ht="14.4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</row>
    <row r="227" spans="2:37" ht="14.4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</row>
    <row r="228" spans="2:37" ht="14.4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</row>
    <row r="229" spans="2:37" ht="14.4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</row>
    <row r="230" spans="2:37" ht="14.4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</row>
    <row r="231" spans="2:37" ht="14.4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</row>
    <row r="232" spans="2:37" ht="14.4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</row>
    <row r="233" spans="2:37" ht="14.4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</row>
    <row r="234" spans="2:37" ht="14.4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</row>
    <row r="235" spans="2:37" ht="14.4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</row>
    <row r="236" spans="2:37" ht="14.4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</row>
    <row r="237" spans="2:37" ht="14.4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</row>
    <row r="238" spans="2:37" ht="14.4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</row>
    <row r="239" spans="2:37" ht="14.4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</row>
    <row r="240" spans="2:37" ht="14.4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</row>
    <row r="241" spans="2:37" ht="14.4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</row>
    <row r="242" spans="2:37" ht="14.4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</row>
    <row r="243" spans="2:37" ht="14.4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</row>
    <row r="244" spans="2:37" ht="14.4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</row>
    <row r="245" spans="2:37" ht="14.4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</row>
    <row r="246" spans="2:37" ht="14.4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</row>
    <row r="247" spans="2:37" ht="14.4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</row>
    <row r="248" spans="2:37" ht="14.4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</row>
    <row r="249" spans="2:37" ht="14.4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</row>
    <row r="250" spans="2:37" ht="14.4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</row>
    <row r="251" spans="2:37" ht="14.4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</row>
    <row r="252" spans="2:37" ht="14.4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</row>
    <row r="253" spans="2:37" ht="14.4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</row>
    <row r="254" spans="2:37" ht="14.4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</row>
    <row r="255" spans="2:37" ht="14.4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</row>
    <row r="256" spans="2:37" ht="14.4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</row>
    <row r="257" spans="2:37" ht="14.4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</row>
    <row r="258" spans="2:37" ht="14.4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</row>
    <row r="259" spans="2:37" ht="14.4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</row>
    <row r="260" spans="2:37" ht="14.4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</row>
    <row r="261" spans="2:37" ht="14.4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</row>
    <row r="262" spans="2:37" ht="14.4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</row>
    <row r="263" spans="2:37" ht="14.4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</row>
    <row r="264" spans="2:37" ht="14.4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</row>
    <row r="265" spans="2:37" ht="14.4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</row>
    <row r="266" spans="2:37" ht="14.4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</row>
    <row r="267" spans="2:37" ht="14.4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</row>
    <row r="268" spans="2:37" ht="14.4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</row>
    <row r="269" spans="2:37" ht="14.4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</row>
    <row r="270" spans="2:37" ht="14.4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</row>
    <row r="271" spans="2:37" ht="14.4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</row>
    <row r="272" spans="2:37" ht="14.4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</row>
    <row r="273" spans="2:37" ht="14.4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</row>
    <row r="274" spans="2:37" ht="14.4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</row>
    <row r="275" spans="2:37" ht="14.4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</row>
    <row r="276" spans="2:37" ht="14.4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</row>
    <row r="277" spans="2:37" ht="14.4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</row>
    <row r="278" spans="2:37" ht="14.4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</row>
    <row r="279" spans="2:37" ht="14.4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</row>
    <row r="280" spans="2:37" ht="14.4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</row>
    <row r="281" spans="2:37" ht="14.4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</row>
    <row r="282" spans="2:37" ht="14.4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</row>
    <row r="283" spans="2:37" ht="14.4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</row>
    <row r="284" spans="2:37" ht="14.4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</row>
    <row r="285" spans="2:37" ht="14.4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</row>
    <row r="286" spans="2:37" ht="14.4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</row>
    <row r="287" spans="2:37" ht="14.4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</row>
    <row r="288" spans="2:37" ht="14.4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</row>
    <row r="289" spans="2:37" ht="14.4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</row>
    <row r="290" spans="2:37" ht="14.4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</row>
    <row r="291" spans="2:37" ht="14.4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</row>
    <row r="292" spans="2:37" ht="14.4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</row>
    <row r="293" spans="2:37" ht="14.4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</row>
    <row r="294" spans="2:37" ht="14.4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</row>
    <row r="295" spans="2:37" ht="14.4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</row>
    <row r="296" spans="2:37" ht="14.4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</row>
    <row r="297" spans="2:37" ht="14.4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</row>
    <row r="298" spans="2:37" ht="14.4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</row>
    <row r="299" spans="2:37" ht="14.4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</row>
    <row r="300" spans="2:37" ht="14.4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</row>
    <row r="301" spans="2:37" ht="14.4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</row>
    <row r="302" spans="2:37" ht="14.4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</row>
    <row r="303" spans="2:37" ht="14.4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</row>
    <row r="304" spans="2:37" ht="14.4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</row>
    <row r="305" spans="2:37" ht="14.4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</row>
    <row r="306" spans="2:37" ht="14.4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</row>
    <row r="307" spans="2:37" ht="14.4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</row>
    <row r="308" spans="2:37" ht="14.4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</row>
    <row r="309" spans="2:37" ht="14.4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</row>
    <row r="310" spans="2:37" ht="14.4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</row>
    <row r="311" spans="2:37" ht="14.4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</row>
    <row r="312" spans="2:37" ht="14.4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</row>
    <row r="313" spans="2:37" ht="14.4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</row>
    <row r="314" spans="2:37" ht="14.4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</row>
    <row r="315" spans="2:37" ht="14.4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</row>
    <row r="316" spans="2:37" ht="14.4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</row>
    <row r="317" spans="2:37" ht="14.4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</row>
    <row r="318" spans="2:37" ht="14.4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</row>
    <row r="319" spans="2:37" ht="14.4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</row>
    <row r="320" spans="2:37" ht="14.4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</row>
    <row r="321" spans="2:37" ht="14.4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</row>
    <row r="322" spans="2:37" ht="14.4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</row>
    <row r="323" spans="2:37" ht="14.4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</row>
    <row r="324" spans="2:37" ht="14.4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</row>
    <row r="325" spans="2:37" ht="14.4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</row>
    <row r="326" spans="2:37" ht="14.4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</row>
    <row r="327" spans="2:37" ht="14.4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</row>
    <row r="328" spans="2:37" ht="14.4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</row>
    <row r="329" spans="2:37" ht="14.4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</row>
    <row r="330" spans="2:37" ht="14.4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</row>
    <row r="331" spans="2:37" ht="14.4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</row>
    <row r="332" spans="2:37" ht="14.4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</row>
    <row r="333" spans="2:37" ht="14.4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</row>
    <row r="334" spans="2:37" ht="14.4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</row>
    <row r="335" spans="2:37" ht="14.4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</row>
    <row r="336" spans="2:37" ht="14.4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</row>
    <row r="337" spans="2:37" ht="14.4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</row>
    <row r="338" spans="2:37" ht="14.4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</row>
    <row r="339" spans="2:37" ht="14.4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</row>
    <row r="340" spans="2:37" ht="14.4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</row>
    <row r="341" spans="2:37" ht="14.4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</row>
    <row r="342" spans="2:37" ht="14.4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</row>
    <row r="343" spans="2:37" ht="14.4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</row>
    <row r="344" spans="2:37" ht="14.4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</row>
    <row r="345" spans="2:37" ht="14.4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</row>
    <row r="346" spans="2:37" ht="14.4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</row>
    <row r="347" spans="2:37" ht="14.4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</row>
    <row r="348" spans="2:37" ht="14.4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</row>
    <row r="349" spans="2:37" ht="14.4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</row>
    <row r="350" spans="2:37" ht="14.4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</row>
    <row r="351" spans="2:37" ht="14.4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</row>
    <row r="352" spans="2:37" ht="14.4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</row>
    <row r="353" spans="2:37" ht="14.4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</row>
    <row r="354" spans="2:37" ht="14.4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</row>
    <row r="355" spans="2:37" ht="14.4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</row>
    <row r="356" spans="2:37" ht="14.4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</row>
    <row r="357" spans="2:37" ht="14.4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</row>
    <row r="358" spans="2:37" ht="14.4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</row>
    <row r="359" spans="2:37" ht="14.4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</row>
    <row r="360" spans="2:37" ht="14.4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</row>
    <row r="361" spans="2:37" ht="14.4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</row>
    <row r="362" spans="2:37" ht="14.4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</row>
    <row r="363" spans="2:37" ht="14.4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</row>
    <row r="364" spans="2:37" ht="14.4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</row>
    <row r="365" spans="2:37" ht="14.4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</row>
    <row r="366" spans="2:37" ht="14.4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</row>
    <row r="367" spans="2:37" ht="14.4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</row>
    <row r="368" spans="2:37" ht="14.4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</row>
    <row r="369" spans="2:37" ht="14.4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</row>
    <row r="370" spans="2:37" ht="14.4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</row>
    <row r="371" spans="2:37" ht="14.4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</row>
    <row r="372" spans="2:37" ht="14.4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</row>
    <row r="373" spans="2:37" ht="14.4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</row>
    <row r="374" spans="2:37" ht="14.4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</row>
    <row r="375" spans="2:37" ht="14.4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</row>
    <row r="376" spans="2:37" ht="14.4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</row>
    <row r="377" spans="2:37" ht="14.4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</row>
    <row r="378" spans="2:37" ht="14.4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</row>
    <row r="379" spans="2:37" ht="14.4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</row>
    <row r="380" spans="2:37" ht="14.4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</row>
    <row r="381" spans="2:37" ht="14.4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</row>
    <row r="382" spans="2:37" ht="14.4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</row>
    <row r="383" spans="2:37" ht="14.4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</row>
    <row r="384" spans="2:37" ht="14.4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</row>
    <row r="385" spans="2:37" ht="14.4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</row>
    <row r="386" spans="2:37" ht="14.4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</row>
    <row r="387" spans="2:37" ht="14.4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</row>
    <row r="388" spans="2:37" ht="14.4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</row>
    <row r="389" spans="2:37" ht="14.4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</row>
    <row r="390" spans="2:37" ht="14.4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</row>
    <row r="391" spans="2:37" ht="14.4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</row>
    <row r="392" spans="2:37" ht="14.4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</row>
    <row r="393" spans="2:37" ht="14.4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</row>
    <row r="394" spans="2:37" ht="14.4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</row>
    <row r="395" spans="2:37" ht="14.4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</row>
    <row r="396" spans="2:37" ht="14.4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</row>
    <row r="397" spans="2:37" ht="14.4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</row>
    <row r="398" spans="2:37" ht="14.4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</row>
    <row r="399" spans="2:37" ht="14.4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</row>
    <row r="400" spans="2:37" ht="14.4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</row>
    <row r="401" spans="2:37" ht="14.4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</row>
    <row r="402" spans="2:37" ht="14.4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</row>
    <row r="403" spans="2:37" ht="14.4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</row>
    <row r="404" spans="2:37" ht="14.4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</row>
    <row r="405" spans="2:37" ht="14.4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</row>
    <row r="406" spans="2:37" ht="14.4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</row>
    <row r="407" spans="2:37" ht="14.4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</row>
    <row r="408" spans="2:37" ht="14.4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</row>
    <row r="409" spans="2:37" ht="14.4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</row>
    <row r="410" spans="2:37" ht="14.4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</row>
    <row r="411" spans="2:37" ht="14.4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</row>
    <row r="412" spans="2:37" ht="14.4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</row>
    <row r="413" spans="2:37" ht="14.4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</row>
    <row r="414" spans="2:37" ht="14.4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</row>
    <row r="415" spans="2:37" ht="14.4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</row>
    <row r="416" spans="2:37" ht="14.4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</row>
    <row r="417" spans="2:37" ht="14.4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</row>
    <row r="418" spans="2:37" ht="14.4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</row>
    <row r="419" spans="2:37" ht="14.4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</row>
    <row r="420" spans="2:37" ht="14.4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</row>
    <row r="421" spans="2:37" ht="14.4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</row>
    <row r="422" spans="2:37" ht="14.4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</row>
    <row r="423" spans="2:37" ht="14.4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</row>
    <row r="424" spans="2:37" ht="14.4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</row>
    <row r="425" spans="2:37" ht="14.4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</row>
    <row r="426" spans="2:37" ht="14.4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</row>
    <row r="427" spans="2:37" ht="14.4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</row>
    <row r="428" spans="2:37" ht="14.4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</row>
    <row r="429" spans="2:37" ht="14.4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</row>
    <row r="430" spans="2:37" ht="14.4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</row>
    <row r="431" spans="2:37" ht="14.4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</row>
    <row r="432" spans="2:37" ht="14.4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</row>
    <row r="433" spans="2:37" ht="14.4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</row>
    <row r="434" spans="2:37" ht="14.4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</row>
    <row r="435" spans="2:37" ht="14.4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</row>
    <row r="436" spans="2:37" ht="14.4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</row>
    <row r="437" spans="2:37" ht="14.4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</row>
    <row r="438" spans="2:37" ht="14.4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</row>
    <row r="439" spans="2:37" ht="14.4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</row>
    <row r="440" spans="2:37" ht="14.4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</row>
    <row r="441" spans="2:37" ht="14.4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</row>
    <row r="442" spans="2:37" ht="14.4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</row>
    <row r="443" spans="2:37" ht="14.4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</row>
    <row r="444" spans="2:37" ht="14.4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</row>
    <row r="445" spans="2:37" ht="14.4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</row>
    <row r="446" spans="2:37" ht="14.4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</row>
    <row r="447" spans="2:37" ht="14.4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</row>
    <row r="448" spans="2:37" ht="14.4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</row>
    <row r="449" spans="2:37" ht="14.4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</row>
    <row r="450" spans="2:37" ht="14.4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</row>
    <row r="451" spans="2:37" ht="14.4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</row>
    <row r="452" spans="2:37" ht="14.4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</row>
    <row r="453" spans="2:37" ht="14.4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</row>
    <row r="454" spans="2:37" ht="14.4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</row>
    <row r="455" spans="2:37" ht="14.4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</row>
    <row r="456" spans="2:37" ht="14.4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</row>
    <row r="457" spans="2:37" ht="14.4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</row>
    <row r="458" spans="2:37" ht="14.4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</row>
    <row r="459" spans="2:37" ht="14.4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</row>
    <row r="460" spans="2:37" ht="14.4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</row>
    <row r="461" spans="2:37" ht="14.4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</row>
    <row r="462" spans="2:37" ht="14.4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</row>
    <row r="463" spans="2:37" ht="14.4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</row>
    <row r="464" spans="2:37" ht="14.4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</row>
    <row r="465" spans="2:37" ht="14.4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</row>
    <row r="466" spans="2:37" ht="14.4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</row>
    <row r="467" spans="2:37" ht="14.4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</row>
    <row r="468" spans="2:37" ht="14.4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</row>
    <row r="469" spans="2:37" ht="14.4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</row>
    <row r="470" spans="2:37" ht="14.4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</row>
    <row r="471" spans="2:37" ht="14.4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</row>
    <row r="472" spans="2:37" ht="14.4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</row>
    <row r="473" spans="2:37" ht="14.4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</row>
    <row r="474" spans="2:37" ht="14.4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</row>
    <row r="475" spans="2:37" ht="14.4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</row>
    <row r="476" spans="2:37" ht="14.4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</row>
    <row r="477" spans="2:37" ht="14.4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</row>
    <row r="478" spans="2:37" ht="14.4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</row>
    <row r="479" spans="2:37" ht="14.4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</row>
    <row r="480" spans="2:37" ht="14.4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</row>
    <row r="481" spans="2:37" ht="14.4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</row>
    <row r="482" spans="2:37" ht="14.4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</row>
    <row r="483" spans="2:37" ht="14.4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</row>
    <row r="484" spans="2:37" ht="14.4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</row>
    <row r="485" spans="2:37" ht="14.4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</row>
    <row r="486" spans="2:37" ht="14.4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</row>
    <row r="487" spans="2:37" ht="14.4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</row>
    <row r="488" spans="2:37" ht="14.4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</row>
    <row r="489" spans="2:37" ht="14.4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</row>
    <row r="490" spans="2:37" ht="14.4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</row>
    <row r="491" spans="2:37" ht="14.4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</row>
    <row r="492" spans="2:37" ht="14.4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</row>
    <row r="493" spans="2:37" ht="14.4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</row>
    <row r="494" spans="2:37" ht="14.4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</row>
    <row r="495" spans="2:37" ht="14.4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</row>
    <row r="496" spans="2:37" ht="14.4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</row>
    <row r="497" spans="2:37" ht="14.4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</row>
    <row r="498" spans="2:37" ht="14.4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</row>
    <row r="499" spans="2:37" ht="14.4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</row>
    <row r="500" spans="2:37" ht="14.4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</row>
    <row r="501" spans="2:37" ht="14.4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</row>
    <row r="502" spans="2:37" ht="14.4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</row>
    <row r="503" spans="2:37" ht="14.4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</row>
    <row r="504" spans="2:37" ht="14.4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</row>
    <row r="505" spans="2:37" ht="14.4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</row>
    <row r="506" spans="2:37" ht="14.4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</row>
    <row r="507" spans="2:37" ht="14.4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</row>
    <row r="508" spans="2:37" ht="14.4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</row>
    <row r="509" spans="2:37" ht="14.4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</row>
    <row r="510" spans="2:37" ht="14.4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</row>
    <row r="511" spans="2:37" ht="14.4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</row>
    <row r="512" spans="2:37" ht="14.4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</row>
    <row r="513" spans="2:37" ht="14.4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</row>
    <row r="514" spans="2:37" ht="14.4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</row>
    <row r="515" spans="2:37" ht="14.4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</row>
    <row r="516" spans="2:37" ht="14.4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</row>
    <row r="517" spans="2:37" ht="14.4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</row>
    <row r="518" spans="2:37" ht="14.4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</row>
    <row r="519" spans="2:37" ht="14.4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</row>
    <row r="520" spans="2:37" ht="14.4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</row>
    <row r="521" spans="2:37" ht="14.4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</row>
    <row r="522" spans="2:37" ht="14.4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</row>
    <row r="523" spans="2:37" ht="14.4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</row>
    <row r="524" spans="2:37" ht="14.4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</row>
    <row r="525" spans="2:37" ht="14.4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</row>
    <row r="526" spans="2:37" ht="14.4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</row>
    <row r="527" spans="2:37" ht="14.4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</row>
    <row r="528" spans="2:37" ht="14.4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</row>
    <row r="529" spans="2:37" ht="14.4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</row>
    <row r="530" spans="2:37" ht="14.4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</row>
    <row r="531" spans="2:37" ht="14.4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</row>
    <row r="532" spans="2:37" ht="14.4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</row>
    <row r="533" spans="2:37" ht="14.4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</row>
    <row r="534" spans="2:37" ht="14.4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</row>
    <row r="535" spans="2:37" ht="14.4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</row>
    <row r="536" spans="2:37" ht="14.4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</row>
    <row r="537" spans="2:37" ht="14.4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</row>
    <row r="538" spans="2:37" ht="14.4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</row>
    <row r="539" spans="2:37" ht="14.4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</row>
    <row r="540" spans="2:37" ht="14.4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</row>
    <row r="541" spans="2:37" ht="14.4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</row>
    <row r="542" spans="2:37" ht="14.4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</row>
    <row r="543" spans="2:37" ht="14.4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</row>
    <row r="544" spans="2:37" ht="14.4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</row>
    <row r="545" spans="2:37" ht="14.4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</row>
    <row r="546" spans="2:37" ht="14.4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</row>
    <row r="547" spans="2:37" ht="14.4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</row>
    <row r="548" spans="2:37" ht="14.4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</row>
    <row r="549" spans="2:37" ht="14.4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</row>
    <row r="550" spans="2:37" ht="14.4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</row>
    <row r="551" spans="2:37" ht="14.4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</row>
    <row r="552" spans="2:37" ht="14.4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</row>
    <row r="553" spans="2:37" ht="14.4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</row>
    <row r="554" spans="2:37" ht="14.4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</row>
    <row r="555" spans="2:37" ht="14.4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</row>
    <row r="556" spans="2:37" ht="14.4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</row>
    <row r="557" spans="2:37" ht="14.4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</row>
    <row r="558" spans="2:37" ht="14.4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</row>
    <row r="559" spans="2:37" ht="14.4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</row>
    <row r="560" spans="2:37" ht="14.4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</row>
    <row r="561" spans="2:37" ht="14.4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</row>
    <row r="562" spans="2:37" ht="14.4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</row>
    <row r="563" spans="2:37" ht="14.4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</row>
    <row r="564" spans="2:37" ht="14.4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</row>
    <row r="565" spans="2:37" ht="14.4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</row>
    <row r="566" spans="2:37" ht="14.4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</row>
    <row r="567" spans="2:37" ht="14.4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</row>
    <row r="568" spans="2:37" ht="14.4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</row>
    <row r="569" spans="2:37" ht="14.4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</row>
    <row r="570" spans="2:37" ht="14.4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</row>
    <row r="571" spans="2:37" ht="14.4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</row>
    <row r="572" spans="2:37" ht="14.4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</row>
    <row r="573" spans="2:37" ht="14.4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</row>
    <row r="574" spans="2:37" ht="14.4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</row>
    <row r="575" spans="2:37" ht="14.4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</row>
    <row r="576" spans="2:37" ht="14.4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</row>
    <row r="577" spans="2:37" ht="14.4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</row>
    <row r="578" spans="2:37" ht="14.4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</row>
    <row r="579" spans="2:37" ht="14.4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</row>
    <row r="580" spans="2:37" ht="14.4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</row>
    <row r="581" spans="2:37" ht="14.4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</row>
    <row r="582" spans="2:37" ht="14.4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</row>
    <row r="583" spans="2:37" ht="14.4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</row>
    <row r="584" spans="2:37" ht="14.4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</row>
    <row r="585" spans="2:37" ht="14.4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</row>
    <row r="586" spans="2:37" ht="14.4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</row>
    <row r="587" spans="2:37" ht="14.4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</row>
    <row r="588" spans="2:37" ht="14.4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</row>
    <row r="589" spans="2:37" ht="14.4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</row>
    <row r="590" spans="2:37" ht="14.4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</row>
    <row r="591" spans="2:37" ht="14.4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</row>
    <row r="592" spans="2:37" ht="14.4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</row>
    <row r="593" spans="2:37" ht="14.4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</row>
    <row r="594" spans="2:37" ht="14.4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</row>
    <row r="595" spans="2:37" ht="14.4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</row>
    <row r="596" spans="2:37" ht="14.4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</row>
    <row r="597" spans="2:37" ht="14.4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</row>
    <row r="598" spans="2:37" ht="14.4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</row>
    <row r="599" spans="2:37" ht="14.4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</row>
    <row r="600" spans="2:37" ht="14.4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</row>
    <row r="601" spans="2:37" ht="14.4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</row>
    <row r="602" spans="2:37" ht="14.4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</row>
    <row r="603" spans="2:37" ht="14.4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</row>
    <row r="604" spans="2:37" ht="14.4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</row>
    <row r="605" spans="2:37" ht="14.4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</row>
    <row r="606" spans="2:37" ht="14.4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</row>
    <row r="607" spans="2:37" ht="14.4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</row>
    <row r="608" spans="2:37" ht="14.4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</row>
    <row r="609" spans="2:37" ht="14.4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</row>
    <row r="610" spans="2:37" ht="14.4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</row>
    <row r="611" spans="2:37" ht="14.4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</row>
    <row r="612" spans="2:37" ht="14.4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</row>
    <row r="613" spans="2:37" ht="14.4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</row>
    <row r="614" spans="2:37" ht="14.4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</row>
    <row r="615" spans="2:37" ht="14.4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</row>
    <row r="616" spans="2:37" ht="14.4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</row>
    <row r="617" spans="2:37" ht="14.4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</row>
    <row r="618" spans="2:37" ht="14.4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</row>
    <row r="619" spans="2:37" ht="14.4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</row>
    <row r="620" spans="2:37" ht="14.4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</row>
    <row r="621" spans="2:37" ht="14.4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</row>
    <row r="622" spans="2:37" ht="14.4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</row>
    <row r="623" spans="2:37" ht="14.4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</row>
    <row r="624" spans="2:37" ht="14.4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</row>
    <row r="625" spans="2:37" ht="14.4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</row>
    <row r="626" spans="2:37" ht="14.4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</row>
    <row r="627" spans="2:37" ht="14.4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</row>
    <row r="628" spans="2:37" ht="14.4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</row>
    <row r="629" spans="2:37" ht="14.4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</row>
    <row r="630" spans="2:37" ht="14.4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</row>
    <row r="631" spans="2:37" ht="14.4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</row>
    <row r="632" spans="2:37" ht="14.4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</row>
    <row r="633" spans="2:37" ht="14.4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</row>
    <row r="634" spans="2:37" ht="14.4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</row>
    <row r="635" spans="2:37" ht="14.4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</row>
    <row r="636" spans="2:37" ht="14.4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</row>
    <row r="637" spans="2:37" ht="14.4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</row>
    <row r="638" spans="2:37" ht="14.4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</row>
    <row r="639" spans="2:37" ht="14.4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</row>
    <row r="640" spans="2:37" ht="14.4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</row>
    <row r="641" spans="2:37" ht="14.4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</row>
    <row r="642" spans="2:37" ht="14.4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</row>
    <row r="643" spans="2:37" ht="14.4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</row>
    <row r="644" spans="2:37" ht="14.4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</row>
    <row r="645" spans="2:37" ht="14.4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</row>
    <row r="646" spans="2:37" ht="14.4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</row>
    <row r="647" spans="2:37" ht="14.4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</row>
    <row r="648" spans="2:37" ht="14.4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</row>
    <row r="649" spans="2:37" ht="14.4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</row>
    <row r="650" spans="2:37" ht="14.4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</row>
    <row r="651" spans="2:37" ht="14.4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</row>
    <row r="652" spans="2:37" ht="14.4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</row>
    <row r="653" spans="2:37" ht="14.4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</row>
    <row r="654" spans="2:37" ht="14.4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</row>
    <row r="655" spans="2:37" ht="14.4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</row>
    <row r="656" spans="2:37" ht="14.4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</row>
    <row r="657" spans="2:37" ht="14.4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</row>
    <row r="658" spans="2:37" ht="14.4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</row>
    <row r="659" spans="2:37" ht="14.4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</row>
    <row r="660" spans="2:37" ht="14.4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</row>
    <row r="661" spans="2:37" ht="14.4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</row>
    <row r="662" spans="2:37" ht="14.4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</row>
    <row r="663" spans="2:37" ht="14.4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</row>
    <row r="664" spans="2:37" ht="14.4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</row>
    <row r="665" spans="2:37" ht="14.4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</row>
    <row r="666" spans="2:37" ht="14.4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</row>
    <row r="667" spans="2:37" ht="14.4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</row>
    <row r="668" spans="2:37" ht="14.4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</row>
    <row r="669" spans="2:37" ht="14.4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</row>
    <row r="670" spans="2:37" ht="14.4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</row>
    <row r="671" spans="2:37" ht="14.4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</row>
    <row r="672" spans="2:37" ht="14.4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</row>
    <row r="673" spans="2:37" ht="14.4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</row>
    <row r="674" spans="2:37" ht="14.4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</row>
    <row r="675" spans="2:37" ht="14.4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</row>
    <row r="676" spans="2:37" ht="14.4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</row>
    <row r="677" spans="2:37" ht="14.4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</row>
    <row r="678" spans="2:37" ht="14.4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</row>
    <row r="679" spans="2:37" ht="14.4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</row>
    <row r="680" spans="2:37" ht="14.4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</row>
    <row r="681" spans="2:37" ht="14.4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</row>
    <row r="682" spans="2:37" ht="14.4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</row>
    <row r="683" spans="2:37" ht="14.4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</row>
    <row r="684" spans="2:37" ht="14.4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</row>
    <row r="685" spans="2:37" ht="14.4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</row>
    <row r="686" spans="2:37" ht="14.4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</row>
    <row r="687" spans="2:37" ht="14.4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</row>
    <row r="688" spans="2:37" ht="14.4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</row>
    <row r="689" spans="2:37" ht="14.4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</row>
    <row r="690" spans="2:37" ht="14.4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</row>
    <row r="691" spans="2:37" ht="14.4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</row>
    <row r="692" spans="2:37" ht="14.4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</row>
    <row r="693" spans="2:37" ht="14.4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</row>
    <row r="694" spans="2:37" ht="14.4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</row>
    <row r="695" spans="2:37" ht="14.4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</row>
    <row r="696" spans="2:37" ht="14.4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</row>
    <row r="697" spans="2:37" ht="14.4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</row>
    <row r="698" spans="2:37" ht="14.4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</row>
    <row r="699" spans="2:37" ht="14.4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</row>
    <row r="700" spans="2:37" ht="14.4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</row>
    <row r="701" spans="2:37" ht="14.4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</row>
    <row r="702" spans="2:37" ht="14.4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</row>
    <row r="703" spans="2:37" ht="14.4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</row>
    <row r="704" spans="2:37" ht="14.4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</row>
    <row r="705" spans="2:37" ht="14.4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</row>
    <row r="706" spans="2:37" ht="14.4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</row>
    <row r="707" spans="2:37" ht="14.4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</row>
    <row r="708" spans="2:37" ht="14.4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</row>
    <row r="709" spans="2:37" ht="14.4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</row>
    <row r="710" spans="2:37" ht="14.4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</row>
    <row r="711" spans="2:37" ht="14.4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</row>
    <row r="712" spans="2:37" ht="14.4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</row>
    <row r="713" spans="2:37" ht="14.4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</row>
    <row r="714" spans="2:37" ht="14.4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</row>
    <row r="715" spans="2:37" ht="14.4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</row>
    <row r="716" spans="2:37" ht="14.4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</row>
    <row r="717" spans="2:37" ht="14.4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</row>
    <row r="718" spans="2:37" ht="14.4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</row>
    <row r="719" spans="2:37" ht="14.4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</row>
    <row r="720" spans="2:37" ht="14.4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</row>
    <row r="721" spans="2:37" ht="14.4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</row>
    <row r="722" spans="2:37" ht="14.4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</row>
    <row r="723" spans="2:37" ht="14.4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</row>
    <row r="724" spans="2:37" ht="14.4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</row>
    <row r="725" spans="2:37" ht="14.4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</row>
    <row r="726" spans="2:37" ht="14.4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</row>
    <row r="727" spans="2:37" ht="14.4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</row>
    <row r="728" spans="2:37" ht="14.4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</row>
    <row r="729" spans="2:37" ht="14.4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</row>
    <row r="730" spans="2:37" ht="14.4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</row>
    <row r="731" spans="2:37" ht="14.4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</row>
    <row r="732" spans="2:37" ht="14.4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</row>
    <row r="733" spans="2:37" ht="14.4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</row>
    <row r="734" spans="2:37" ht="14.4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</row>
    <row r="735" spans="2:37" ht="14.4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</row>
    <row r="736" spans="2:37" ht="14.4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</row>
    <row r="737" spans="2:37" ht="14.4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</row>
    <row r="738" spans="2:37" ht="14.4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</row>
    <row r="739" spans="2:37" ht="14.4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</row>
    <row r="740" spans="2:37" ht="14.4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</row>
    <row r="741" spans="2:37" ht="14.4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</row>
    <row r="742" spans="2:37" ht="14.4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</row>
    <row r="743" spans="2:37" ht="14.4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</row>
    <row r="744" spans="2:37" ht="14.4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</row>
    <row r="745" spans="2:37" ht="14.4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</row>
    <row r="746" spans="2:37" ht="14.4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</row>
    <row r="747" spans="2:37" ht="14.4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</row>
    <row r="748" spans="2:37" ht="14.4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</row>
    <row r="749" spans="2:37" ht="14.4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</row>
    <row r="750" spans="2:37" ht="14.4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</row>
    <row r="751" spans="2:37" ht="14.4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</row>
    <row r="752" spans="2:37" ht="14.4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</row>
    <row r="753" spans="2:37" ht="14.4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</row>
    <row r="754" spans="2:37" ht="14.4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</row>
    <row r="755" spans="2:37" ht="14.4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</row>
    <row r="756" spans="2:37" ht="14.4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</row>
    <row r="757" spans="2:37" ht="14.4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</row>
    <row r="758" spans="2:37" ht="14.4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</row>
    <row r="759" spans="2:37" ht="14.4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</row>
    <row r="760" spans="2:37" ht="14.4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</row>
    <row r="761" spans="2:37" ht="14.4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</row>
    <row r="762" spans="2:37" ht="14.4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</row>
    <row r="763" spans="2:37" ht="14.4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</row>
    <row r="764" spans="2:37" ht="14.4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</row>
    <row r="765" spans="2:37" ht="14.4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</row>
    <row r="766" spans="2:37" ht="14.4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</row>
    <row r="767" spans="2:37" ht="14.4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</row>
    <row r="768" spans="2:37" ht="14.4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</row>
    <row r="769" spans="2:37" ht="14.4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</row>
    <row r="770" spans="2:37" ht="14.4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</row>
    <row r="771" spans="2:37" ht="14.4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</row>
    <row r="772" spans="2:37" ht="14.4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</row>
    <row r="773" spans="2:37" ht="14.4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</row>
    <row r="774" spans="2:37" ht="14.4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</row>
    <row r="775" spans="2:37" ht="14.4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</row>
    <row r="776" spans="2:37" ht="14.4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</row>
    <row r="777" spans="2:37" ht="14.4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</row>
    <row r="778" spans="2:37" ht="14.4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</row>
    <row r="779" spans="2:37" ht="14.4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</row>
    <row r="780" spans="2:37" ht="14.4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</row>
    <row r="781" spans="2:37" ht="14.4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</row>
    <row r="782" spans="2:37" ht="14.4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</row>
    <row r="783" spans="2:37" ht="14.4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</row>
    <row r="784" spans="2:37" ht="14.4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</row>
    <row r="785" spans="2:37" ht="14.4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</row>
    <row r="786" spans="2:37" ht="14.4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</row>
    <row r="787" spans="2:37" ht="14.4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</row>
    <row r="788" spans="2:37" ht="14.4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</row>
    <row r="789" spans="2:37" ht="14.4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</row>
    <row r="790" spans="2:37" ht="14.4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</row>
    <row r="791" spans="2:37" ht="14.4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</row>
    <row r="792" spans="2:37" ht="14.4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</row>
    <row r="793" spans="2:37" ht="14.4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</row>
    <row r="794" spans="2:37" ht="14.4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</row>
    <row r="795" spans="2:37" ht="14.4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</row>
    <row r="796" spans="2:37" ht="14.4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</row>
    <row r="797" spans="2:37" ht="14.4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</row>
    <row r="798" spans="2:37" ht="14.4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</row>
    <row r="799" spans="2:37" ht="14.4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</row>
    <row r="800" spans="2:37" ht="14.4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</row>
    <row r="801" spans="2:37" ht="14.4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</row>
    <row r="802" spans="2:37" ht="14.4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</row>
    <row r="803" spans="2:37" ht="14.4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</row>
    <row r="804" spans="2:37" ht="14.4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</row>
    <row r="805" spans="2:37" ht="14.4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</row>
    <row r="806" spans="2:37" ht="14.4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</row>
    <row r="807" spans="2:37" ht="14.4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</row>
    <row r="808" spans="2:37" ht="14.4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</row>
    <row r="809" spans="2:37" ht="14.4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</row>
    <row r="810" spans="2:37" ht="14.4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</row>
    <row r="811" spans="2:37" ht="14.4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</row>
    <row r="812" spans="2:37" ht="14.4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</row>
    <row r="813" spans="2:37" ht="14.4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</row>
    <row r="814" spans="2:37" ht="14.4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</row>
    <row r="815" spans="2:37" ht="14.4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</row>
    <row r="816" spans="2:37" ht="14.4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</row>
    <row r="817" spans="2:37" ht="14.4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</row>
    <row r="818" spans="2:37" ht="14.4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</row>
    <row r="819" spans="2:37" ht="14.4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</row>
    <row r="820" spans="2:37" ht="14.4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</row>
    <row r="821" spans="2:37" ht="14.4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</row>
    <row r="822" spans="2:37" ht="14.4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</row>
    <row r="823" spans="2:37" ht="14.4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</row>
    <row r="824" spans="2:37" ht="14.4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</row>
    <row r="825" spans="2:37" ht="14.4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</row>
    <row r="826" spans="2:37" ht="14.4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</row>
    <row r="827" spans="2:37" ht="14.4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</row>
    <row r="828" spans="2:37" ht="14.4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</row>
    <row r="829" spans="2:37" ht="14.4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</row>
    <row r="830" spans="2:37" ht="14.4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</row>
    <row r="831" spans="2:37" ht="14.4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</row>
    <row r="832" spans="2:37" ht="14.4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</row>
    <row r="833" spans="2:37" ht="14.4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</row>
    <row r="834" spans="2:37" ht="14.4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</row>
    <row r="835" spans="2:37" ht="14.4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</row>
    <row r="836" spans="2:37" ht="14.4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</row>
    <row r="837" spans="2:37" ht="14.4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</row>
    <row r="838" spans="2:37" ht="14.4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</row>
    <row r="839" spans="2:37" ht="14.4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</row>
    <row r="840" spans="2:37" ht="14.4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</row>
    <row r="841" spans="2:37" ht="14.4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</row>
    <row r="842" spans="2:37" ht="14.4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</row>
    <row r="843" spans="2:37" ht="14.4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</row>
    <row r="844" spans="2:37" ht="14.4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</row>
    <row r="845" spans="2:37" ht="14.4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</row>
    <row r="846" spans="2:37" ht="14.4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</row>
    <row r="847" spans="2:37" ht="14.4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</row>
    <row r="848" spans="2:37" ht="14.4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</row>
    <row r="849" spans="2:37" ht="14.4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</row>
    <row r="850" spans="2:37" ht="14.4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</row>
    <row r="851" spans="2:37" ht="14.4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</row>
    <row r="852" spans="2:37" ht="14.4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</row>
    <row r="853" spans="2:37" ht="14.4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</row>
    <row r="854" spans="2:37" ht="14.4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</row>
    <row r="855" spans="2:37" ht="14.4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</row>
    <row r="856" spans="2:37" ht="14.4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</row>
    <row r="857" spans="2:37" ht="14.4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</row>
    <row r="858" spans="2:37" ht="14.4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</row>
    <row r="859" spans="2:37" ht="14.4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</row>
    <row r="860" spans="2:37" ht="14.4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</row>
    <row r="861" spans="2:37" ht="14.4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</row>
    <row r="862" spans="2:37" ht="14.4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</row>
    <row r="863" spans="2:37" ht="14.4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</row>
    <row r="864" spans="2:37" ht="14.4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</row>
    <row r="865" spans="2:37" ht="14.4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</row>
    <row r="866" spans="2:37" ht="14.4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</row>
    <row r="867" spans="2:37" ht="14.4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</row>
    <row r="868" spans="2:37" ht="14.4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</row>
    <row r="869" spans="2:37" ht="14.4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</row>
    <row r="870" spans="2:37" ht="14.4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</row>
    <row r="871" spans="2:37" ht="14.4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</row>
    <row r="872" spans="2:37" ht="14.4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</row>
    <row r="873" spans="2:37" ht="14.4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</row>
    <row r="874" spans="2:37" ht="14.4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</row>
    <row r="875" spans="2:37" ht="14.4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</row>
    <row r="876" spans="2:37" ht="14.4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</row>
    <row r="877" spans="2:37" ht="14.4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</row>
    <row r="878" spans="2:37" ht="14.4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</row>
    <row r="879" spans="2:37" ht="14.4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</row>
    <row r="880" spans="2:37" ht="14.4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</row>
    <row r="881" spans="2:37" ht="14.4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</row>
    <row r="882" spans="2:37" ht="14.4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</row>
    <row r="883" spans="2:37" ht="14.4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</row>
    <row r="884" spans="2:37" ht="14.4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</row>
    <row r="885" spans="2:37" ht="14.4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</row>
    <row r="886" spans="2:37" ht="14.4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</row>
    <row r="887" spans="2:37" ht="14.4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</row>
    <row r="888" spans="2:37" ht="14.4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</row>
    <row r="889" spans="2:37" ht="14.4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</row>
    <row r="890" spans="2:37" ht="14.4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</row>
    <row r="891" spans="2:37" ht="14.4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</row>
    <row r="892" spans="2:37" ht="14.4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</row>
    <row r="893" spans="2:37" ht="14.4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</row>
    <row r="894" spans="2:37" ht="14.4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</row>
    <row r="895" spans="2:37" ht="14.4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</row>
    <row r="896" spans="2:37" ht="14.4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</row>
    <row r="897" spans="2:37" ht="14.4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</row>
    <row r="898" spans="2:37" ht="14.4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</row>
    <row r="899" spans="2:37" ht="14.4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</row>
    <row r="900" spans="2:37" ht="14.4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</row>
    <row r="901" spans="2:37" ht="14.4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</row>
    <row r="902" spans="2:37" ht="14.4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</row>
    <row r="903" spans="2:37" ht="14.4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</row>
    <row r="904" spans="2:37" ht="14.4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</row>
    <row r="905" spans="2:37" ht="14.4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</row>
    <row r="906" spans="2:37" ht="14.4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</row>
    <row r="907" spans="2:37" ht="14.4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</row>
    <row r="908" spans="2:37" ht="14.4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</row>
    <row r="909" spans="2:37" ht="14.4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</row>
    <row r="910" spans="2:37" ht="14.4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</row>
    <row r="911" spans="2:37" ht="14.4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</row>
    <row r="912" spans="2:37" ht="14.4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</row>
    <row r="913" spans="2:37" ht="14.4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</row>
    <row r="914" spans="2:37" ht="14.4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</row>
    <row r="915" spans="2:37" ht="14.4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</row>
    <row r="916" spans="2:37" ht="14.4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</row>
    <row r="917" spans="2:37" ht="14.4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</row>
    <row r="918" spans="2:37" ht="14.4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</row>
    <row r="919" spans="2:37" ht="14.4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</row>
    <row r="920" spans="2:37" ht="14.4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</row>
    <row r="921" spans="2:37" ht="14.4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</row>
    <row r="922" spans="2:37" ht="14.4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</row>
    <row r="923" spans="2:37" ht="14.4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</row>
    <row r="924" spans="2:37" ht="14.4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</row>
    <row r="925" spans="2:37" ht="14.4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</row>
    <row r="926" spans="2:37" ht="14.4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</row>
    <row r="927" spans="2:37" ht="14.4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</row>
    <row r="928" spans="2:37" ht="14.4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</row>
    <row r="929" spans="2:37" ht="14.4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</row>
    <row r="930" spans="2:37" ht="14.4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</row>
    <row r="931" spans="2:37" ht="14.4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</row>
    <row r="932" spans="2:37" ht="14.4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</row>
    <row r="933" spans="2:37" ht="14.4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</row>
    <row r="934" spans="2:37" ht="14.4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</row>
    <row r="935" spans="2:37" ht="14.4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</row>
    <row r="936" spans="2:37" ht="14.4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</row>
    <row r="937" spans="2:37" ht="14.4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</row>
    <row r="938" spans="2:37" ht="14.4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</row>
    <row r="939" spans="2:37" ht="14.4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</row>
    <row r="940" spans="2:37" ht="14.4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</row>
    <row r="941" spans="2:37" ht="14.4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</row>
    <row r="942" spans="2:37" ht="14.4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</row>
    <row r="943" spans="2:37" ht="14.4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</row>
    <row r="944" spans="2:37" ht="14.4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</row>
    <row r="945" spans="2:37" ht="14.4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</row>
    <row r="946" spans="2:37" ht="14.4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</row>
    <row r="947" spans="2:37" ht="14.4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</row>
    <row r="948" spans="2:37" ht="14.4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</row>
    <row r="949" spans="2:37" ht="14.4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</row>
    <row r="950" spans="2:37" ht="14.4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</row>
    <row r="951" spans="2:37" ht="14.4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</row>
    <row r="952" spans="2:37" ht="14.4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</row>
    <row r="953" spans="2:37" ht="14.4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</row>
    <row r="954" spans="2:37" ht="14.4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</row>
    <row r="955" spans="2:37" ht="14.4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</row>
    <row r="956" spans="2:37" ht="14.4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</row>
    <row r="957" spans="2:37" ht="14.4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</row>
    <row r="958" spans="2:37" ht="14.4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</row>
    <row r="959" spans="2:37" ht="14.4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</row>
    <row r="960" spans="2:37" ht="14.4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</row>
    <row r="961" spans="2:37" ht="14.4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</row>
    <row r="962" spans="2:37" ht="14.4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</row>
    <row r="963" spans="2:37" ht="14.4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</row>
    <row r="964" spans="2:37" ht="14.4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</row>
    <row r="965" spans="2:37" ht="14.4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</row>
    <row r="966" spans="2:37" ht="14.4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</row>
    <row r="967" spans="2:37" ht="14.4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</row>
    <row r="968" spans="2:37" ht="14.4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</row>
    <row r="969" spans="2:37" ht="14.4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</row>
    <row r="970" spans="2:37" ht="14.4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</row>
    <row r="971" spans="2:37" ht="14.4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</row>
    <row r="972" spans="2:37" ht="14.4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</row>
    <row r="973" spans="2:37" ht="14.4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</row>
    <row r="974" spans="2:37" ht="14.4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</row>
    <row r="975" spans="2:37" ht="14.4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</row>
    <row r="976" spans="2:37" ht="14.4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</row>
    <row r="977" spans="2:37" ht="14.4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</row>
    <row r="978" spans="2:37" ht="14.4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</row>
    <row r="979" spans="2:37" ht="14.4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</row>
    <row r="980" spans="2:37" ht="14.4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</row>
    <row r="981" spans="2:37" ht="14.4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</row>
    <row r="982" spans="2:37" ht="14.4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</row>
    <row r="983" spans="2:37" ht="14.4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</row>
    <row r="984" spans="2:37" ht="14.4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</row>
    <row r="985" spans="2:37" ht="14.4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</row>
    <row r="986" spans="2:37" ht="14.4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</row>
    <row r="987" spans="2:37" ht="14.4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</row>
    <row r="988" spans="2:37" ht="14.4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</row>
    <row r="989" spans="2:37" ht="14.4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</row>
    <row r="990" spans="2:37" ht="14.4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</row>
    <row r="991" spans="2:37" ht="14.4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</row>
    <row r="992" spans="2:37" ht="14.4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</row>
    <row r="993" spans="2:37" ht="14.4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</row>
    <row r="994" spans="2:37" ht="14.4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</row>
    <row r="995" spans="2:37" ht="14.4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</row>
    <row r="996" spans="2:37" ht="14.4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</row>
    <row r="997" spans="2:37" ht="14.4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</row>
    <row r="998" spans="2:37" ht="14.4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</row>
    <row r="999" spans="2:37" ht="14.4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</row>
    <row r="1000" spans="2:37" ht="14.4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</row>
    <row r="1001" spans="2:37" ht="14.4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</row>
    <row r="1002" spans="2:37" ht="14.4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</row>
    <row r="1003" spans="2:37" ht="14.4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</row>
    <row r="1004" spans="2:37" ht="14.4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</row>
    <row r="1005" spans="2:37" ht="14.4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</row>
    <row r="1006" spans="2:37" ht="14.4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</row>
    <row r="1007" spans="2:37" ht="14.4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</row>
    <row r="1008" spans="2:37" ht="14.4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</row>
  </sheetData>
  <mergeCells count="14">
    <mergeCell ref="C2:AJ2"/>
    <mergeCell ref="A8:A14"/>
    <mergeCell ref="A15:A21"/>
    <mergeCell ref="A22:A24"/>
    <mergeCell ref="A4:B5"/>
    <mergeCell ref="S4:V4"/>
    <mergeCell ref="S5:V5"/>
    <mergeCell ref="D4:R5"/>
    <mergeCell ref="AH5:AK5"/>
    <mergeCell ref="AH4:AK4"/>
    <mergeCell ref="AC5:AF5"/>
    <mergeCell ref="AC4:AF4"/>
    <mergeCell ref="X5:AA5"/>
    <mergeCell ref="X4:AA4"/>
  </mergeCells>
  <pageMargins left="0.7" right="0.7" top="0.75" bottom="0.75" header="0.3" footer="0.3"/>
  <pageSetup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BDB1E1-56D3-447E-9D41-C721ADE7A6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personal</vt:lpstr>
      <vt:lpstr>tareas</vt:lpstr>
      <vt:lpstr>personal_tareas</vt:lpstr>
      <vt:lpstr>tabla_control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2026-01-31T02:08:37Z</dcterms:modified>
</cp:coreProperties>
</file>